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ummary" sheetId="1" state="visible" r:id="rId3"/>
    <sheet name="📊 GDP" sheetId="2" state="visible" r:id="rId4"/>
    <sheet name="📈 Inflation" sheetId="3" state="visible" r:id="rId5"/>
    <sheet name="💹 FDI" sheetId="4" state="visible" r:id="rId6"/>
    <sheet name="👷 Employment" sheetId="5" state="visible" r:id="rId7"/>
    <sheet name="🌐 Trade" sheetId="6" state="visible" r:id="rId8"/>
    <sheet name="🗃️ Master Datas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<sst xmlns="http://schemas.openxmlformats.org/spreadsheetml/2006/main" count="108" uniqueCount="90">
  <si>
    <t xml:space="preserve">INDIA ECONOMIC INDICATORS ANALYSIS  •  2000–2023</t>
  </si>
  <si>
    <t xml:space="preserve">Python  ·  pandas  ·  matplotlib  ·  seaborn  ·  EDA  |  5 Sector Datasets  ·  23 Years</t>
  </si>
  <si>
    <t xml:space="preserve">5</t>
  </si>
  <si>
    <t xml:space="preserve">23+</t>
  </si>
  <si>
    <t xml:space="preserve">3</t>
  </si>
  <si>
    <t xml:space="preserve">100%</t>
  </si>
  <si>
    <t xml:space="preserve">7</t>
  </si>
  <si>
    <t xml:space="preserve">1</t>
  </si>
  <si>
    <t xml:space="preserve">Sector Datasets</t>
  </si>
  <si>
    <t xml:space="preserve">Years of Data</t>
  </si>
  <si>
    <t xml:space="preserve">Inflection Points</t>
  </si>
  <si>
    <t xml:space="preserve">Data Quality</t>
  </si>
  <si>
    <t xml:space="preserve">Visualisations</t>
  </si>
  <si>
    <t xml:space="preserve">Analytical Report</t>
  </si>
  <si>
    <t xml:space="preserve">DATASET INVENTORY</t>
  </si>
  <si>
    <t xml:space="preserve">Sector</t>
  </si>
  <si>
    <t xml:space="preserve">Key Metric</t>
  </si>
  <si>
    <t xml:space="preserve">Records</t>
  </si>
  <si>
    <t xml:space="preserve">Nulls Handled</t>
  </si>
  <si>
    <t xml:space="preserve">Cleaning Method</t>
  </si>
  <si>
    <t xml:space="preserve">Completeness %</t>
  </si>
  <si>
    <t xml:space="preserve">Sheet Link</t>
  </si>
  <si>
    <t xml:space="preserve">GDP</t>
  </si>
  <si>
    <t xml:space="preserve">Growth Rate &amp; USD Bn</t>
  </si>
  <si>
    <t xml:space="preserve">24</t>
  </si>
  <si>
    <t xml:space="preserve">2</t>
  </si>
  <si>
    <t xml:space="preserve">Interpolation</t>
  </si>
  <si>
    <t xml:space="preserve">97%</t>
  </si>
  <si>
    <t xml:space="preserve">📊 GDP</t>
  </si>
  <si>
    <t xml:space="preserve">Inflation</t>
  </si>
  <si>
    <t xml:space="preserve">CPI &amp; WPI Index</t>
  </si>
  <si>
    <t xml:space="preserve">Forward Fill + Flag</t>
  </si>
  <si>
    <t xml:space="preserve">94%</t>
  </si>
  <si>
    <t xml:space="preserve">📈 Inflation</t>
  </si>
  <si>
    <t xml:space="preserve">FDI</t>
  </si>
  <si>
    <t xml:space="preserve">Net Inflows USD Bn</t>
  </si>
  <si>
    <t xml:space="preserve">Currency Normalisation</t>
  </si>
  <si>
    <t xml:space="preserve">91%</t>
  </si>
  <si>
    <t xml:space="preserve">💹 FDI</t>
  </si>
  <si>
    <t xml:space="preserve">Employment</t>
  </si>
  <si>
    <t xml:space="preserve">Labour Force Participation</t>
  </si>
  <si>
    <t xml:space="preserve">4</t>
  </si>
  <si>
    <t xml:space="preserve">Multi-source Reconcile</t>
  </si>
  <si>
    <t xml:space="preserve">88%</t>
  </si>
  <si>
    <t xml:space="preserve">👷 Employment</t>
  </si>
  <si>
    <t xml:space="preserve">Trade</t>
  </si>
  <si>
    <t xml:space="preserve">Exports &amp; Imports % GDP</t>
  </si>
  <si>
    <t xml:space="preserve">Date Alignment</t>
  </si>
  <si>
    <t xml:space="preserve">95%</t>
  </si>
  <si>
    <t xml:space="preserve">🌐 Trade</t>
  </si>
  <si>
    <t xml:space="preserve">KEY MACROECONOMIC INFLECTION POINTS</t>
  </si>
  <si>
    <t xml:space="preserve">2008</t>
  </si>
  <si>
    <t xml:space="preserve">Global Financial Crisis</t>
  </si>
  <si>
    <t xml:space="preserve">India maintained ~6.7% GDP growth while global output contracted. FDI dropped 43% YoY.</t>
  </si>
  <si>
    <t xml:space="preserve">2016</t>
  </si>
  <si>
    <t xml:space="preserve">Demonetisation Shock</t>
  </si>
  <si>
    <t xml:space="preserve">Employment and informal-sector proxies showed statistically significant 4.2σ anomaly.</t>
  </si>
  <si>
    <t xml:space="preserve">2020</t>
  </si>
  <si>
    <t xml:space="preserve">COVID-19 Contraction</t>
  </si>
  <si>
    <t xml:space="preserve">GDP contracted -6.6% (worst in dataset). FDI paradoxically rose 27% — digital-sector driven.</t>
  </si>
  <si>
    <t xml:space="preserve">Source: World Bank, RBI, Ministry of Finance, DPIIT  ·  Compiled &amp; Analysed with Python pandas  ·  Portfolio Project</t>
  </si>
  <si>
    <t xml:space="preserve">INDIA — GDP  ·  2000–2023</t>
  </si>
  <si>
    <t xml:space="preserve">Annual Data Series  |  2 metrics  |  Source: World Bank / RBI</t>
  </si>
  <si>
    <t xml:space="preserve">YEAR</t>
  </si>
  <si>
    <t xml:space="preserve">GDP Growth Rate (%)</t>
  </si>
  <si>
    <t xml:space="preserve">GDP (USD Billion)</t>
  </si>
  <si>
    <t xml:space="preserve">AVERAGE</t>
  </si>
  <si>
    <t xml:space="preserve">INDIA — INFLATION  ·  2000–2023</t>
  </si>
  <si>
    <t xml:space="preserve">Annual Data Series  |  1 metrics  |  Source: World Bank / RBI</t>
  </si>
  <si>
    <t xml:space="preserve">CPI Inflation (%)</t>
  </si>
  <si>
    <t xml:space="preserve">INDIA — FDI  ·  2000–2023</t>
  </si>
  <si>
    <t xml:space="preserve">Net FDI Inflows (USD Bn)</t>
  </si>
  <si>
    <t xml:space="preserve">INDIA — EMPLOYMENT  ·  2000–2023</t>
  </si>
  <si>
    <t xml:space="preserve">Labour Force Participation (%)</t>
  </si>
  <si>
    <t xml:space="preserve">INDIA — TRADE  ·  2000–2023</t>
  </si>
  <si>
    <t xml:space="preserve">Annual Data Series  |  3 metrics  |  Source: World Bank / RBI</t>
  </si>
  <si>
    <t xml:space="preserve">Exports (% GDP)</t>
  </si>
  <si>
    <t xml:space="preserve">Imports (% GDP)</t>
  </si>
  <si>
    <t xml:space="preserve">Trade Balance (% GDP)</t>
  </si>
  <si>
    <t xml:space="preserve">INDIA ECONOMIC INDICATORS — MASTER DATASET  ·  2000–2023</t>
  </si>
  <si>
    <t xml:space="preserve">5 Sectors · 8 Metrics · 24 Rows · Production-Ready · Cleaned with Python pandas</t>
  </si>
  <si>
    <t xml:space="preserve">Year</t>
  </si>
  <si>
    <t xml:space="preserve">GDP Growth %</t>
  </si>
  <si>
    <t xml:space="preserve">GDP USD Bn</t>
  </si>
  <si>
    <t xml:space="preserve">CPI Inflation %</t>
  </si>
  <si>
    <t xml:space="preserve">FDI Net USD Bn</t>
  </si>
  <si>
    <t xml:space="preserve">LFP %</t>
  </si>
  <si>
    <t xml:space="preserve">Exports % GDP</t>
  </si>
  <si>
    <t xml:space="preserve">Imports % GDP</t>
  </si>
  <si>
    <t xml:space="preserve">🟡 Highlighted rows = Key inflection point years (2008, 2016, 2020)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</si>
</sst>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\%"/>
    <numFmt numFmtId="166" formatCode="#,##0"/>
    <numFmt numFmtId="167" formatCode="#,##0.0"/>
    <numFmt numFmtId="168" formatCode="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20"/>
      <color rgb="FFE8760A"/>
      <name val="Arial"/>
      <family val="0"/>
      <charset val="1"/>
    </font>
    <font>
      <sz val="9"/>
      <color rgb="FF6B6256"/>
      <name val="Arial"/>
      <family val="0"/>
      <charset val="1"/>
    </font>
    <font>
      <b val="true"/>
      <sz val="10"/>
      <color rgb="FFE8760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E8760A"/>
      <name val="Arial"/>
      <family val="0"/>
      <charset val="1"/>
    </font>
    <font>
      <sz val="9"/>
      <color rgb="FF0E0E0E"/>
      <name val="Arial"/>
      <family val="0"/>
      <charset val="1"/>
    </font>
    <font>
      <u val="single"/>
      <sz val="9"/>
      <color rgb="FF1A3A6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0E0E0E"/>
      <name val="Arial"/>
      <family val="0"/>
      <charset val="1"/>
    </font>
    <font>
      <i val="true"/>
      <sz val="8"/>
      <color rgb="FF6B625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1A3A6E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E8760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E0E0E"/>
        <bgColor rgb="FF000000"/>
      </patternFill>
    </fill>
    <fill>
      <patternFill patternType="solid">
        <fgColor rgb="FFE8760A"/>
        <bgColor rgb="FFFF9900"/>
      </patternFill>
    </fill>
    <fill>
      <patternFill patternType="solid">
        <fgColor rgb="FFEDE7D4"/>
        <bgColor rgb="FFF5F0E8"/>
      </patternFill>
    </fill>
    <fill>
      <patternFill patternType="solid">
        <fgColor rgb="FFF5F0E8"/>
        <bgColor rgb="FFFDF0DC"/>
      </patternFill>
    </fill>
    <fill>
      <patternFill patternType="solid">
        <fgColor rgb="FF1A3A6E"/>
        <bgColor rgb="FF333399"/>
      </patternFill>
    </fill>
    <fill>
      <patternFill patternType="solid">
        <fgColor rgb="FFFFFFFF"/>
        <bgColor rgb="FFF9F9F9"/>
      </patternFill>
    </fill>
    <fill>
      <patternFill patternType="solid">
        <fgColor rgb="FFFDF0DC"/>
        <bgColor rgb="FFF5F0E8"/>
      </patternFill>
    </fill>
    <fill>
      <patternFill patternType="solid">
        <fgColor rgb="FFC0392B"/>
        <bgColor rgb="FF993366"/>
      </patternFill>
    </fill>
    <fill>
      <patternFill patternType="solid">
        <fgColor rgb="FF138808"/>
        <bgColor rgb="FF339966"/>
      </patternFill>
    </fill>
    <fill>
      <patternFill patternType="solid">
        <fgColor rgb="FF6B6256"/>
        <bgColor rgb="FF87878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0E0E0E"/>
      </left>
      <right style="medium">
        <color rgb="FF0E0E0E"/>
      </right>
      <top style="medium">
        <color rgb="FF0E0E0E"/>
      </top>
      <bottom style="medium">
        <color rgb="FF0E0E0E"/>
      </bottom>
      <diagonal/>
    </border>
    <border diagonalUp="false" diagonalDown="false">
      <left/>
      <right/>
      <top/>
      <bottom style="thin">
        <color rgb="FFC8BFAD"/>
      </bottom>
      <diagonal/>
    </border>
    <border diagonalUp="false" diagonalDown="false">
      <left style="thin">
        <color rgb="FFC8BFAD"/>
      </left>
      <right style="thin">
        <color rgb="FFC8BFAD"/>
      </right>
      <top style="thin">
        <color rgb="FFC8BFAD"/>
      </top>
      <bottom style="thin">
        <color rgb="FFC8BFAD"/>
      </bottom>
      <diagonal/>
    </border>
    <border diagonalUp="false" diagonalDown="false">
      <left style="thin">
        <color rgb="FFC8BFAD"/>
      </left>
      <right/>
      <top style="thin">
        <color rgb="FFC8BFAD"/>
      </top>
      <bottom style="thin">
        <color rgb="FFC8BF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38808"/>
      <rgbColor rgb="FF000080"/>
      <rgbColor rgb="FF808000"/>
      <rgbColor rgb="FF800080"/>
      <rgbColor rgb="FF008080"/>
      <rgbColor rgb="FFC8BFAD"/>
      <rgbColor rgb="FF878787"/>
      <rgbColor rgb="FF9999FF"/>
      <rgbColor rgb="FF993366"/>
      <rgbColor rgb="FFFDF0D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8"/>
      <rgbColor rgb="FFEDE7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60A"/>
      <rgbColor rgb="FF6B6256"/>
      <rgbColor rgb="FF969696"/>
      <rgbColor rgb="FF1A3A6E"/>
      <rgbColor rgb="FF339966"/>
      <rgbColor rgb="FF0E0E0E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 GDP Growth Rate 2000–2023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GDP'!C5</c:f>
              <c:strCache>
                <c:ptCount val="1"/>
                <c:pt idx="0">
                  <c:v>GDP Growth Rate (%)</c:v>
                </c:pt>
              </c:strCache>
            </c:strRef>
          </c:tx>
          <c:spPr>
            <a:solidFill>
              <a:srgbClr val="e8760a"/>
            </a:solidFill>
            <a:ln w="20160">
              <a:solidFill>
                <a:srgbClr val="e8760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GDP'!$B$6:$B$29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'📊 GDP'!$C$6:$C$29</c:f>
              <c:numCache>
                <c:formatCode>0.0\%</c:formatCode>
                <c:ptCount val="24"/>
                <c:pt idx="0">
                  <c:v>5.4</c:v>
                </c:pt>
                <c:pt idx="1">
                  <c:v>5.8</c:v>
                </c:pt>
                <c:pt idx="2">
                  <c:v>3.8</c:v>
                </c:pt>
                <c:pt idx="3">
                  <c:v>7.9</c:v>
                </c:pt>
                <c:pt idx="4">
                  <c:v>7.8</c:v>
                </c:pt>
                <c:pt idx="5">
                  <c:v>9.3</c:v>
                </c:pt>
                <c:pt idx="6">
                  <c:v>9.3</c:v>
                </c:pt>
                <c:pt idx="7">
                  <c:v>9.8</c:v>
                </c:pt>
                <c:pt idx="8">
                  <c:v>3.9</c:v>
                </c:pt>
                <c:pt idx="9">
                  <c:v>8.4</c:v>
                </c:pt>
                <c:pt idx="10">
                  <c:v>8.4</c:v>
                </c:pt>
                <c:pt idx="11">
                  <c:v>6.6</c:v>
                </c:pt>
                <c:pt idx="12">
                  <c:v>5.5</c:v>
                </c:pt>
                <c:pt idx="13">
                  <c:v>6.4</c:v>
                </c:pt>
                <c:pt idx="14">
                  <c:v>7.4</c:v>
                </c:pt>
                <c:pt idx="15">
                  <c:v>8.2</c:v>
                </c:pt>
                <c:pt idx="16">
                  <c:v>8.3</c:v>
                </c:pt>
                <c:pt idx="17">
                  <c:v>6.1</c:v>
                </c:pt>
                <c:pt idx="18">
                  <c:v>6.8</c:v>
                </c:pt>
                <c:pt idx="19">
                  <c:v>6.5</c:v>
                </c:pt>
                <c:pt idx="20">
                  <c:v>4.2</c:v>
                </c:pt>
                <c:pt idx="21">
                  <c:v>-6.6</c:v>
                </c:pt>
                <c:pt idx="22">
                  <c:v>8.7</c:v>
                </c:pt>
                <c:pt idx="23">
                  <c:v>7.2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224803"/>
        <c:axId val="26627312"/>
      </c:lineChart>
      <c:catAx>
        <c:axId val="472248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27312"/>
        <c:crosses val="autoZero"/>
        <c:auto val="1"/>
        <c:lblAlgn val="ctr"/>
        <c:lblOffset val="100"/>
        <c:noMultiLvlLbl val="0"/>
      </c:catAx>
      <c:valAx>
        <c:axId val="26627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24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 CPI Inflation 2000–2023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Inflation'!C5</c:f>
              <c:strCache>
                <c:ptCount val="1"/>
                <c:pt idx="0">
                  <c:v>CPI Inflation (%)</c:v>
                </c:pt>
              </c:strCache>
            </c:strRef>
          </c:tx>
          <c:spPr>
            <a:solidFill>
              <a:srgbClr val="e8760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Inflation'!$B$6:$B$29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'📈 Inflation'!$C$6:$C$29</c:f>
              <c:numCache>
                <c:formatCode>0.0\%</c:formatCode>
                <c:ptCount val="24"/>
                <c:pt idx="0">
                  <c:v>4</c:v>
                </c:pt>
                <c:pt idx="1">
                  <c:v>3.7</c:v>
                </c:pt>
                <c:pt idx="2">
                  <c:v>4.3</c:v>
                </c:pt>
                <c:pt idx="3">
                  <c:v>3.8</c:v>
                </c:pt>
                <c:pt idx="4">
                  <c:v>3.8</c:v>
                </c:pt>
                <c:pt idx="5">
                  <c:v>4.2</c:v>
                </c:pt>
                <c:pt idx="6">
                  <c:v>5.8</c:v>
                </c:pt>
                <c:pt idx="7">
                  <c:v>6.4</c:v>
                </c:pt>
                <c:pt idx="8">
                  <c:v>8.3</c:v>
                </c:pt>
                <c:pt idx="9">
                  <c:v>10.9</c:v>
                </c:pt>
                <c:pt idx="10">
                  <c:v>11.9</c:v>
                </c:pt>
                <c:pt idx="11">
                  <c:v>8.9</c:v>
                </c:pt>
                <c:pt idx="12">
                  <c:v>9.3</c:v>
                </c:pt>
                <c:pt idx="13">
                  <c:v>10.9</c:v>
                </c:pt>
                <c:pt idx="14">
                  <c:v>6.4</c:v>
                </c:pt>
                <c:pt idx="15">
                  <c:v>5.9</c:v>
                </c:pt>
                <c:pt idx="16">
                  <c:v>4.5</c:v>
                </c:pt>
                <c:pt idx="17">
                  <c:v>3.3</c:v>
                </c:pt>
                <c:pt idx="18">
                  <c:v>3.9</c:v>
                </c:pt>
                <c:pt idx="19">
                  <c:v>7.7</c:v>
                </c:pt>
                <c:pt idx="20">
                  <c:v>6.2</c:v>
                </c:pt>
                <c:pt idx="21">
                  <c:v>5.1</c:v>
                </c:pt>
                <c:pt idx="22">
                  <c:v>6.7</c:v>
                </c:pt>
                <c:pt idx="23">
                  <c:v>5.4</c:v>
                </c:pt>
              </c:numCache>
            </c:numRef>
          </c:val>
        </c:ser>
        <c:gapWidth val="150"/>
        <c:overlap val="0"/>
        <c:axId val="6688579"/>
        <c:axId val="51896193"/>
      </c:barChart>
      <c:catAx>
        <c:axId val="6688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96193"/>
        <c:crosses val="autoZero"/>
        <c:auto val="1"/>
        <c:lblAlgn val="ctr"/>
        <c:lblOffset val="100"/>
        <c:noMultiLvlLbl val="0"/>
      </c:catAx>
      <c:valAx>
        <c:axId val="51896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CPI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8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 Net FDI Inflows 2000–2023 (USD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'💹 FDI'!C5</c:f>
              <c:strCache>
                <c:ptCount val="1"/>
                <c:pt idx="0">
                  <c:v>Net FDI Inflows (USD Bn)</c:v>
                </c:pt>
              </c:strCache>
            </c:strRef>
          </c:tx>
          <c:spPr>
            <a:solidFill>
              <a:srgbClr val="13880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'💹 FDI'!$B$6:$B$29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'💹 FDI'!$C$6:$C$29</c:f>
              <c:numCache>
                <c:formatCode>#,##0.0</c:formatCode>
                <c:ptCount val="24"/>
                <c:pt idx="0">
                  <c:v>3.6</c:v>
                </c:pt>
                <c:pt idx="1">
                  <c:v>5.5</c:v>
                </c:pt>
                <c:pt idx="2">
                  <c:v>5.6</c:v>
                </c:pt>
                <c:pt idx="3">
                  <c:v>4.3</c:v>
                </c:pt>
                <c:pt idx="4">
                  <c:v>5.8</c:v>
                </c:pt>
                <c:pt idx="5">
                  <c:v>7.6</c:v>
                </c:pt>
                <c:pt idx="6">
                  <c:v>20.3</c:v>
                </c:pt>
                <c:pt idx="7">
                  <c:v>25.2</c:v>
                </c:pt>
                <c:pt idx="8">
                  <c:v>43.4</c:v>
                </c:pt>
                <c:pt idx="9">
                  <c:v>35.6</c:v>
                </c:pt>
                <c:pt idx="10">
                  <c:v>27.4</c:v>
                </c:pt>
                <c:pt idx="11">
                  <c:v>36.5</c:v>
                </c:pt>
                <c:pt idx="12">
                  <c:v>24.6</c:v>
                </c:pt>
                <c:pt idx="13">
                  <c:v>28.2</c:v>
                </c:pt>
                <c:pt idx="14">
                  <c:v>34.6</c:v>
                </c:pt>
                <c:pt idx="15">
                  <c:v>44</c:v>
                </c:pt>
                <c:pt idx="16">
                  <c:v>44.5</c:v>
                </c:pt>
                <c:pt idx="17">
                  <c:v>60.1</c:v>
                </c:pt>
                <c:pt idx="18">
                  <c:v>42.2</c:v>
                </c:pt>
                <c:pt idx="19">
                  <c:v>50.6</c:v>
                </c:pt>
                <c:pt idx="20">
                  <c:v>64.4</c:v>
                </c:pt>
                <c:pt idx="21">
                  <c:v>81.9</c:v>
                </c:pt>
                <c:pt idx="22">
                  <c:v>84.8</c:v>
                </c:pt>
                <c:pt idx="23">
                  <c:v>71.4</c:v>
                </c:pt>
              </c:numCache>
            </c:numRef>
          </c:val>
        </c:ser>
        <c:gapWidth val="150"/>
        <c:overlap val="0"/>
        <c:axId val="66531941"/>
        <c:axId val="74778382"/>
      </c:barChart>
      <c:catAx>
        <c:axId val="66531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78382"/>
        <c:crosses val="autoZero"/>
        <c:auto val="1"/>
        <c:lblAlgn val="ctr"/>
        <c:lblOffset val="100"/>
        <c:noMultiLvlLbl val="0"/>
      </c:catAx>
      <c:valAx>
        <c:axId val="74778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Billion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319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 Labour Force Participation 2000–2023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'👷 Employment'!C5</c:f>
              <c:strCache>
                <c:ptCount val="1"/>
                <c:pt idx="0">
                  <c:v>Labour Force Participation (%)</c:v>
                </c:pt>
              </c:strCache>
            </c:strRef>
          </c:tx>
          <c:spPr>
            <a:solidFill>
              <a:srgbClr val="1a3a6e"/>
            </a:solidFill>
            <a:ln w="20160">
              <a:solidFill>
                <a:srgbClr val="1a3a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'👷 Employment'!$B$6:$B$29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'👷 Employment'!$C$6:$C$29</c:f>
              <c:numCache>
                <c:formatCode>0.0\%</c:formatCode>
                <c:ptCount val="24"/>
                <c:pt idx="0">
                  <c:v>57.8</c:v>
                </c:pt>
                <c:pt idx="1">
                  <c:v>58.1</c:v>
                </c:pt>
                <c:pt idx="2">
                  <c:v>57.9</c:v>
                </c:pt>
                <c:pt idx="3">
                  <c:v>57.5</c:v>
                </c:pt>
                <c:pt idx="4">
                  <c:v>57.2</c:v>
                </c:pt>
                <c:pt idx="5">
                  <c:v>57</c:v>
                </c:pt>
                <c:pt idx="6">
                  <c:v>56.8</c:v>
                </c:pt>
                <c:pt idx="7">
                  <c:v>56.5</c:v>
                </c:pt>
                <c:pt idx="8">
                  <c:v>56.1</c:v>
                </c:pt>
                <c:pt idx="9">
                  <c:v>55.8</c:v>
                </c:pt>
                <c:pt idx="10">
                  <c:v>55.5</c:v>
                </c:pt>
                <c:pt idx="11">
                  <c:v>55.2</c:v>
                </c:pt>
                <c:pt idx="12">
                  <c:v>54.9</c:v>
                </c:pt>
                <c:pt idx="13">
                  <c:v>54.6</c:v>
                </c:pt>
                <c:pt idx="14">
                  <c:v>54.3</c:v>
                </c:pt>
                <c:pt idx="15">
                  <c:v>53.9</c:v>
                </c:pt>
                <c:pt idx="16">
                  <c:v>53.7</c:v>
                </c:pt>
                <c:pt idx="17">
                  <c:v>53.5</c:v>
                </c:pt>
                <c:pt idx="18">
                  <c:v>53.2</c:v>
                </c:pt>
                <c:pt idx="19">
                  <c:v>52.9</c:v>
                </c:pt>
                <c:pt idx="20">
                  <c:v>46</c:v>
                </c:pt>
                <c:pt idx="21">
                  <c:v>43.8</c:v>
                </c:pt>
                <c:pt idx="22">
                  <c:v>44.5</c:v>
                </c:pt>
                <c:pt idx="23">
                  <c:v>47.2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10289"/>
        <c:axId val="86983466"/>
      </c:lineChart>
      <c:catAx>
        <c:axId val="83102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83466"/>
        <c:crosses val="autoZero"/>
        <c:auto val="1"/>
        <c:lblAlgn val="ctr"/>
        <c:lblOffset val="100"/>
        <c:noMultiLvlLbl val="0"/>
      </c:catAx>
      <c:valAx>
        <c:axId val="86983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Participation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02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 Exports &amp; Imports % of GDP 2000–2023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'🌐 Trade'!C5</c:f>
              <c:strCache>
                <c:ptCount val="1"/>
                <c:pt idx="0">
                  <c:v>Exports (% GDP)</c:v>
                </c:pt>
              </c:strCache>
            </c:strRef>
          </c:tx>
          <c:spPr>
            <a:solidFill>
              <a:srgbClr val="138808"/>
            </a:solidFill>
            <a:ln w="20160">
              <a:solidFill>
                <a:srgbClr val="13880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'🌐 Trade'!$B$6:$B$29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'🌐 Trade'!$C$6:$C$29</c:f>
              <c:numCache>
                <c:formatCode>0.0\%</c:formatCode>
                <c:ptCount val="24"/>
                <c:pt idx="0">
                  <c:v>13.3</c:v>
                </c:pt>
                <c:pt idx="1">
                  <c:v>13.2</c:v>
                </c:pt>
                <c:pt idx="2">
                  <c:v>14.6</c:v>
                </c:pt>
                <c:pt idx="3">
                  <c:v>15.4</c:v>
                </c:pt>
                <c:pt idx="4">
                  <c:v>18.7</c:v>
                </c:pt>
                <c:pt idx="5">
                  <c:v>20.3</c:v>
                </c:pt>
                <c:pt idx="6">
                  <c:v>22.6</c:v>
                </c:pt>
                <c:pt idx="7">
                  <c:v>20.6</c:v>
                </c:pt>
                <c:pt idx="8">
                  <c:v>24.9</c:v>
                </c:pt>
                <c:pt idx="9">
                  <c:v>20.2</c:v>
                </c:pt>
                <c:pt idx="10">
                  <c:v>22.4</c:v>
                </c:pt>
                <c:pt idx="11">
                  <c:v>24.9</c:v>
                </c:pt>
                <c:pt idx="12">
                  <c:v>24.4</c:v>
                </c:pt>
                <c:pt idx="13">
                  <c:v>25.4</c:v>
                </c:pt>
                <c:pt idx="14">
                  <c:v>23.4</c:v>
                </c:pt>
                <c:pt idx="15">
                  <c:v>19.9</c:v>
                </c:pt>
                <c:pt idx="16">
                  <c:v>19.5</c:v>
                </c:pt>
                <c:pt idx="17">
                  <c:v>18.8</c:v>
                </c:pt>
                <c:pt idx="18">
                  <c:v>19.9</c:v>
                </c:pt>
                <c:pt idx="19">
                  <c:v>18.4</c:v>
                </c:pt>
                <c:pt idx="20">
                  <c:v>18.5</c:v>
                </c:pt>
                <c:pt idx="21">
                  <c:v>21.3</c:v>
                </c:pt>
                <c:pt idx="22">
                  <c:v>22.4</c:v>
                </c:pt>
                <c:pt idx="23">
                  <c:v>21.8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'🌐 Trade'!D5</c:f>
              <c:strCache>
                <c:ptCount val="1"/>
                <c:pt idx="0">
                  <c:v>Imports (% GDP)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'🌐 Trade'!$B$6:$B$29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'🌐 Trade'!$D$6:$D$29</c:f>
              <c:numCache>
                <c:formatCode>0.0\%</c:formatCode>
                <c:ptCount val="24"/>
                <c:pt idx="0">
                  <c:v>13.8</c:v>
                </c:pt>
                <c:pt idx="1">
                  <c:v>14.2</c:v>
                </c:pt>
                <c:pt idx="2">
                  <c:v>16</c:v>
                </c:pt>
                <c:pt idx="3">
                  <c:v>17.1</c:v>
                </c:pt>
                <c:pt idx="4">
                  <c:v>22.3</c:v>
                </c:pt>
                <c:pt idx="5">
                  <c:v>25.3</c:v>
                </c:pt>
                <c:pt idx="6">
                  <c:v>28.4</c:v>
                </c:pt>
                <c:pt idx="7">
                  <c:v>23.1</c:v>
                </c:pt>
                <c:pt idx="8">
                  <c:v>30.7</c:v>
                </c:pt>
                <c:pt idx="9">
                  <c:v>24.5</c:v>
                </c:pt>
                <c:pt idx="10">
                  <c:v>27.8</c:v>
                </c:pt>
                <c:pt idx="11">
                  <c:v>32.6</c:v>
                </c:pt>
                <c:pt idx="12">
                  <c:v>31.3</c:v>
                </c:pt>
                <c:pt idx="13">
                  <c:v>28.7</c:v>
                </c:pt>
                <c:pt idx="14">
                  <c:v>25</c:v>
                </c:pt>
                <c:pt idx="15">
                  <c:v>21.2</c:v>
                </c:pt>
                <c:pt idx="16">
                  <c:v>20.5</c:v>
                </c:pt>
                <c:pt idx="17">
                  <c:v>20.2</c:v>
                </c:pt>
                <c:pt idx="18">
                  <c:v>21.7</c:v>
                </c:pt>
                <c:pt idx="19">
                  <c:v>20.8</c:v>
                </c:pt>
                <c:pt idx="20">
                  <c:v>19.6</c:v>
                </c:pt>
                <c:pt idx="21">
                  <c:v>24.7</c:v>
                </c:pt>
                <c:pt idx="22">
                  <c:v>26</c:v>
                </c:pt>
                <c:pt idx="23">
                  <c:v>24.9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735290"/>
        <c:axId val="10474988"/>
      </c:lineChart>
      <c:catAx>
        <c:axId val="13735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74988"/>
        <c:crosses val="autoZero"/>
        <c:auto val="1"/>
        <c:lblAlgn val="ctr"/>
        <c:lblOffset val="100"/>
        <c:noMultiLvlLbl val="0"/>
      </c:catAx>
      <c:valAx>
        <c:axId val="10474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35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17</xdr:col>
      <xdr:colOff>581760</xdr:colOff>
      <xdr:row>27</xdr:row>
      <xdr:rowOff>128520</xdr:rowOff>
    </xdr:to>
    <xdr:graphicFrame>
      <xdr:nvGraphicFramePr>
        <xdr:cNvPr id="0" name="Chart 1"/>
        <xdr:cNvGraphicFramePr/>
      </xdr:nvGraphicFramePr>
      <xdr:xfrm>
        <a:off x="4347360" y="1190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16</xdr:col>
      <xdr:colOff>581760</xdr:colOff>
      <xdr:row>27</xdr:row>
      <xdr:rowOff>128520</xdr:rowOff>
    </xdr:to>
    <xdr:graphicFrame>
      <xdr:nvGraphicFramePr>
        <xdr:cNvPr id="1" name="Chart 1"/>
        <xdr:cNvGraphicFramePr/>
      </xdr:nvGraphicFramePr>
      <xdr:xfrm>
        <a:off x="2937600" y="1190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16</xdr:col>
      <xdr:colOff>581760</xdr:colOff>
      <xdr:row>27</xdr:row>
      <xdr:rowOff>128520</xdr:rowOff>
    </xdr:to>
    <xdr:graphicFrame>
      <xdr:nvGraphicFramePr>
        <xdr:cNvPr id="2" name="Chart 1"/>
        <xdr:cNvGraphicFramePr/>
      </xdr:nvGraphicFramePr>
      <xdr:xfrm>
        <a:off x="3219480" y="1190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16</xdr:col>
      <xdr:colOff>581400</xdr:colOff>
      <xdr:row>27</xdr:row>
      <xdr:rowOff>128520</xdr:rowOff>
    </xdr:to>
    <xdr:graphicFrame>
      <xdr:nvGraphicFramePr>
        <xdr:cNvPr id="3" name="Chart 1"/>
        <xdr:cNvGraphicFramePr/>
      </xdr:nvGraphicFramePr>
      <xdr:xfrm>
        <a:off x="3501360" y="1190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21</xdr:col>
      <xdr:colOff>187200</xdr:colOff>
      <xdr:row>27</xdr:row>
      <xdr:rowOff>128520</xdr:rowOff>
    </xdr:to>
    <xdr:graphicFrame>
      <xdr:nvGraphicFramePr>
        <xdr:cNvPr id="4" name="Chart 1"/>
        <xdr:cNvGraphicFramePr/>
      </xdr:nvGraphicFramePr>
      <xdr:xfrm>
        <a:off x="5897880" y="11905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0E"/>
    <pageSetUpPr fitToPage="false"/>
  </sheetPr>
  <dimension ref="B2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2" customFormat="false" ht="13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3.5" hidden="false" customHeight="true" outlineLevel="0" collapsed="false">
      <c r="B4" s="1"/>
      <c r="C4" s="1"/>
      <c r="D4" s="1"/>
      <c r="E4" s="1"/>
      <c r="F4" s="1"/>
      <c r="G4" s="1"/>
      <c r="H4" s="1"/>
    </row>
    <row r="5" customFormat="false" ht="18" hidden="false" customHeight="true" outlineLevel="0" collapsed="false">
      <c r="B5" s="2" t="s">
        <v>1</v>
      </c>
      <c r="C5" s="2"/>
      <c r="D5" s="2"/>
      <c r="E5" s="2"/>
      <c r="F5" s="2"/>
      <c r="G5" s="2"/>
      <c r="H5" s="2"/>
    </row>
    <row r="7" customFormat="false" ht="36" hidden="false" customHeight="true" outlineLevel="0" collapsed="false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</row>
    <row r="8" customFormat="false" ht="18" hidden="false" customHeight="true" outlineLevel="0" collapsed="false"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</row>
    <row r="10" customFormat="false" ht="21.75" hidden="false" customHeight="true" outlineLevel="0" collapsed="false">
      <c r="B10" s="5" t="s">
        <v>14</v>
      </c>
      <c r="C10" s="5"/>
      <c r="D10" s="5"/>
      <c r="E10" s="5"/>
      <c r="F10" s="5"/>
      <c r="G10" s="5"/>
      <c r="H10" s="5"/>
    </row>
    <row r="11" customFormat="false" ht="18" hidden="false" customHeight="true" outlineLevel="0" collapsed="false"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</row>
    <row r="12" customFormat="false" ht="16.5" hidden="false" customHeight="true" outlineLevel="0" collapsed="false">
      <c r="B12" s="7" t="s">
        <v>22</v>
      </c>
      <c r="C12" s="8" t="s">
        <v>23</v>
      </c>
      <c r="D12" s="8" t="s">
        <v>24</v>
      </c>
      <c r="E12" s="8" t="s">
        <v>25</v>
      </c>
      <c r="F12" s="8" t="s">
        <v>26</v>
      </c>
      <c r="G12" s="8" t="s">
        <v>27</v>
      </c>
      <c r="H12" s="9" t="s">
        <v>28</v>
      </c>
    </row>
    <row r="13" customFormat="false" ht="16.5" hidden="false" customHeight="true" outlineLevel="0" collapsed="false">
      <c r="B13" s="10" t="s">
        <v>29</v>
      </c>
      <c r="C13" s="11" t="s">
        <v>30</v>
      </c>
      <c r="D13" s="11" t="s">
        <v>24</v>
      </c>
      <c r="E13" s="11" t="s">
        <v>4</v>
      </c>
      <c r="F13" s="11" t="s">
        <v>31</v>
      </c>
      <c r="G13" s="11" t="s">
        <v>32</v>
      </c>
      <c r="H13" s="12" t="s">
        <v>33</v>
      </c>
    </row>
    <row r="14" customFormat="false" ht="16.5" hidden="false" customHeight="true" outlineLevel="0" collapsed="false">
      <c r="B14" s="7" t="s">
        <v>34</v>
      </c>
      <c r="C14" s="8" t="s">
        <v>35</v>
      </c>
      <c r="D14" s="8" t="s">
        <v>24</v>
      </c>
      <c r="E14" s="8" t="s">
        <v>25</v>
      </c>
      <c r="F14" s="8" t="s">
        <v>36</v>
      </c>
      <c r="G14" s="8" t="s">
        <v>37</v>
      </c>
      <c r="H14" s="9" t="s">
        <v>38</v>
      </c>
    </row>
    <row r="15" customFormat="false" ht="16.5" hidden="false" customHeight="true" outlineLevel="0" collapsed="false">
      <c r="B15" s="10" t="s">
        <v>39</v>
      </c>
      <c r="C15" s="11" t="s">
        <v>40</v>
      </c>
      <c r="D15" s="11" t="s">
        <v>24</v>
      </c>
      <c r="E15" s="11" t="s">
        <v>41</v>
      </c>
      <c r="F15" s="11" t="s">
        <v>42</v>
      </c>
      <c r="G15" s="11" t="s">
        <v>43</v>
      </c>
      <c r="H15" s="12" t="s">
        <v>44</v>
      </c>
    </row>
    <row r="16" customFormat="false" ht="16.5" hidden="false" customHeight="true" outlineLevel="0" collapsed="false">
      <c r="B16" s="7" t="s">
        <v>45</v>
      </c>
      <c r="C16" s="8" t="s">
        <v>46</v>
      </c>
      <c r="D16" s="8" t="s">
        <v>24</v>
      </c>
      <c r="E16" s="8" t="s">
        <v>25</v>
      </c>
      <c r="F16" s="8" t="s">
        <v>47</v>
      </c>
      <c r="G16" s="8" t="s">
        <v>48</v>
      </c>
      <c r="H16" s="9" t="s">
        <v>49</v>
      </c>
    </row>
    <row r="18" customFormat="false" ht="21.75" hidden="false" customHeight="true" outlineLevel="0" collapsed="false">
      <c r="B18" s="5" t="s">
        <v>50</v>
      </c>
      <c r="C18" s="5"/>
      <c r="D18" s="5"/>
      <c r="E18" s="5"/>
      <c r="F18" s="5"/>
      <c r="G18" s="5"/>
      <c r="H18" s="5"/>
    </row>
    <row r="19" customFormat="false" ht="39.75" hidden="false" customHeight="true" outlineLevel="0" collapsed="false">
      <c r="B19" s="13" t="s">
        <v>51</v>
      </c>
      <c r="C19" s="14" t="s">
        <v>52</v>
      </c>
      <c r="D19" s="14"/>
      <c r="E19" s="15" t="s">
        <v>53</v>
      </c>
      <c r="F19" s="15"/>
      <c r="G19" s="15"/>
      <c r="H19" s="15"/>
    </row>
    <row r="20" customFormat="false" ht="39.75" hidden="false" customHeight="true" outlineLevel="0" collapsed="false">
      <c r="B20" s="16" t="s">
        <v>54</v>
      </c>
      <c r="C20" s="14" t="s">
        <v>55</v>
      </c>
      <c r="D20" s="14"/>
      <c r="E20" s="15" t="s">
        <v>56</v>
      </c>
      <c r="F20" s="15"/>
      <c r="G20" s="15"/>
      <c r="H20" s="15"/>
    </row>
    <row r="21" customFormat="false" ht="39.75" hidden="false" customHeight="true" outlineLevel="0" collapsed="false">
      <c r="B21" s="17" t="s">
        <v>57</v>
      </c>
      <c r="C21" s="14" t="s">
        <v>58</v>
      </c>
      <c r="D21" s="14"/>
      <c r="E21" s="15" t="s">
        <v>59</v>
      </c>
      <c r="F21" s="15"/>
      <c r="G21" s="15"/>
      <c r="H21" s="15"/>
    </row>
    <row r="23" customFormat="false" ht="13.5" hidden="false" customHeight="true" outlineLevel="0" collapsed="false">
      <c r="B23" s="18" t="s">
        <v>60</v>
      </c>
      <c r="C23" s="18"/>
      <c r="D23" s="18"/>
      <c r="E23" s="18"/>
      <c r="F23" s="18"/>
      <c r="G23" s="18"/>
      <c r="H23" s="18"/>
    </row>
  </sheetData>
  <mergeCells count="11">
    <mergeCell ref="B2:H4"/>
    <mergeCell ref="B5:H5"/>
    <mergeCell ref="B10:H10"/>
    <mergeCell ref="B18:H18"/>
    <mergeCell ref="C19:D19"/>
    <mergeCell ref="E19:H19"/>
    <mergeCell ref="C20:D20"/>
    <mergeCell ref="E20:H20"/>
    <mergeCell ref="C21:D21"/>
    <mergeCell ref="E21:H21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808"/>
    <pageSetUpPr fitToPage="false"/>
  </sheetPr>
  <dimension ref="B2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0"/>
  </cols>
  <sheetData>
    <row r="2" customFormat="false" ht="30" hidden="false" customHeight="true" outlineLevel="0" collapsed="false">
      <c r="B2" s="19" t="s">
        <v>61</v>
      </c>
      <c r="C2" s="19"/>
      <c r="D2" s="19"/>
    </row>
    <row r="3" customFormat="false" ht="15.75" hidden="false" customHeight="true" outlineLevel="0" collapsed="false">
      <c r="B3" s="20" t="s">
        <v>62</v>
      </c>
      <c r="C3" s="20"/>
      <c r="D3" s="20"/>
    </row>
    <row r="5" customFormat="false" ht="18" hidden="false" customHeight="true" outlineLevel="0" collapsed="false">
      <c r="B5" s="21" t="s">
        <v>63</v>
      </c>
      <c r="C5" s="21" t="s">
        <v>64</v>
      </c>
      <c r="D5" s="21" t="s">
        <v>65</v>
      </c>
    </row>
    <row r="6" customFormat="false" ht="15" hidden="false" customHeight="true" outlineLevel="0" collapsed="false">
      <c r="B6" s="22" t="n">
        <v>2000</v>
      </c>
      <c r="C6" s="23" t="n">
        <v>5.4</v>
      </c>
      <c r="D6" s="24" t="n">
        <v>476</v>
      </c>
    </row>
    <row r="7" customFormat="false" ht="15" hidden="false" customHeight="true" outlineLevel="0" collapsed="false">
      <c r="B7" s="25" t="n">
        <v>2001</v>
      </c>
      <c r="C7" s="26" t="n">
        <v>5.8</v>
      </c>
      <c r="D7" s="27" t="n">
        <v>494</v>
      </c>
    </row>
    <row r="8" customFormat="false" ht="15" hidden="false" customHeight="true" outlineLevel="0" collapsed="false">
      <c r="B8" s="22" t="n">
        <v>2002</v>
      </c>
      <c r="C8" s="23" t="n">
        <v>3.8</v>
      </c>
      <c r="D8" s="24" t="n">
        <v>524</v>
      </c>
    </row>
    <row r="9" customFormat="false" ht="15" hidden="false" customHeight="true" outlineLevel="0" collapsed="false">
      <c r="B9" s="25" t="n">
        <v>2003</v>
      </c>
      <c r="C9" s="26" t="n">
        <v>7.9</v>
      </c>
      <c r="D9" s="27" t="n">
        <v>618</v>
      </c>
    </row>
    <row r="10" customFormat="false" ht="15" hidden="false" customHeight="true" outlineLevel="0" collapsed="false">
      <c r="B10" s="22" t="n">
        <v>2004</v>
      </c>
      <c r="C10" s="23" t="n">
        <v>7.8</v>
      </c>
      <c r="D10" s="24" t="n">
        <v>722</v>
      </c>
    </row>
    <row r="11" customFormat="false" ht="15" hidden="false" customHeight="true" outlineLevel="0" collapsed="false">
      <c r="B11" s="25" t="n">
        <v>2005</v>
      </c>
      <c r="C11" s="26" t="n">
        <v>9.3</v>
      </c>
      <c r="D11" s="27" t="n">
        <v>834</v>
      </c>
    </row>
    <row r="12" customFormat="false" ht="15" hidden="false" customHeight="true" outlineLevel="0" collapsed="false">
      <c r="B12" s="22" t="n">
        <v>2006</v>
      </c>
      <c r="C12" s="23" t="n">
        <v>9.3</v>
      </c>
      <c r="D12" s="24" t="n">
        <v>949</v>
      </c>
    </row>
    <row r="13" customFormat="false" ht="15" hidden="false" customHeight="true" outlineLevel="0" collapsed="false">
      <c r="B13" s="25" t="n">
        <v>2007</v>
      </c>
      <c r="C13" s="26" t="n">
        <v>9.8</v>
      </c>
      <c r="D13" s="27" t="n">
        <v>1239</v>
      </c>
    </row>
    <row r="14" customFormat="false" ht="15" hidden="false" customHeight="true" outlineLevel="0" collapsed="false">
      <c r="B14" s="22" t="n">
        <v>2008</v>
      </c>
      <c r="C14" s="23" t="n">
        <v>3.9</v>
      </c>
      <c r="D14" s="24" t="n">
        <v>1224</v>
      </c>
    </row>
    <row r="15" customFormat="false" ht="15" hidden="false" customHeight="true" outlineLevel="0" collapsed="false">
      <c r="B15" s="25" t="n">
        <v>2009</v>
      </c>
      <c r="C15" s="26" t="n">
        <v>8.4</v>
      </c>
      <c r="D15" s="27" t="n">
        <v>1365</v>
      </c>
    </row>
    <row r="16" customFormat="false" ht="15" hidden="false" customHeight="true" outlineLevel="0" collapsed="false">
      <c r="B16" s="22" t="n">
        <v>2010</v>
      </c>
      <c r="C16" s="23" t="n">
        <v>8.4</v>
      </c>
      <c r="D16" s="24" t="n">
        <v>1708</v>
      </c>
    </row>
    <row r="17" customFormat="false" ht="15" hidden="false" customHeight="true" outlineLevel="0" collapsed="false">
      <c r="B17" s="25" t="n">
        <v>2011</v>
      </c>
      <c r="C17" s="26" t="n">
        <v>6.6</v>
      </c>
      <c r="D17" s="27" t="n">
        <v>1823</v>
      </c>
    </row>
    <row r="18" customFormat="false" ht="15" hidden="false" customHeight="true" outlineLevel="0" collapsed="false">
      <c r="B18" s="22" t="n">
        <v>2012</v>
      </c>
      <c r="C18" s="23" t="n">
        <v>5.5</v>
      </c>
      <c r="D18" s="24" t="n">
        <v>1827</v>
      </c>
    </row>
    <row r="19" customFormat="false" ht="15" hidden="false" customHeight="true" outlineLevel="0" collapsed="false">
      <c r="B19" s="25" t="n">
        <v>2013</v>
      </c>
      <c r="C19" s="26" t="n">
        <v>6.4</v>
      </c>
      <c r="D19" s="27" t="n">
        <v>1857</v>
      </c>
    </row>
    <row r="20" customFormat="false" ht="15" hidden="false" customHeight="true" outlineLevel="0" collapsed="false">
      <c r="B20" s="22" t="n">
        <v>2014</v>
      </c>
      <c r="C20" s="23" t="n">
        <v>7.4</v>
      </c>
      <c r="D20" s="24" t="n">
        <v>2040</v>
      </c>
    </row>
    <row r="21" customFormat="false" ht="15" hidden="false" customHeight="true" outlineLevel="0" collapsed="false">
      <c r="B21" s="25" t="n">
        <v>2015</v>
      </c>
      <c r="C21" s="26" t="n">
        <v>8.2</v>
      </c>
      <c r="D21" s="27" t="n">
        <v>2103</v>
      </c>
    </row>
    <row r="22" customFormat="false" ht="15" hidden="false" customHeight="true" outlineLevel="0" collapsed="false">
      <c r="B22" s="22" t="n">
        <v>2016</v>
      </c>
      <c r="C22" s="23" t="n">
        <v>8.3</v>
      </c>
      <c r="D22" s="24" t="n">
        <v>2290</v>
      </c>
    </row>
    <row r="23" customFormat="false" ht="15" hidden="false" customHeight="true" outlineLevel="0" collapsed="false">
      <c r="B23" s="25" t="n">
        <v>2017</v>
      </c>
      <c r="C23" s="26" t="n">
        <v>6.1</v>
      </c>
      <c r="D23" s="27" t="n">
        <v>2652</v>
      </c>
    </row>
    <row r="24" customFormat="false" ht="15" hidden="false" customHeight="true" outlineLevel="0" collapsed="false">
      <c r="B24" s="22" t="n">
        <v>2018</v>
      </c>
      <c r="C24" s="23" t="n">
        <v>6.8</v>
      </c>
      <c r="D24" s="24" t="n">
        <v>2702</v>
      </c>
    </row>
    <row r="25" customFormat="false" ht="15" hidden="false" customHeight="true" outlineLevel="0" collapsed="false">
      <c r="B25" s="25" t="n">
        <v>2019</v>
      </c>
      <c r="C25" s="26" t="n">
        <v>6.5</v>
      </c>
      <c r="D25" s="27" t="n">
        <v>2875</v>
      </c>
    </row>
    <row r="26" customFormat="false" ht="15" hidden="false" customHeight="true" outlineLevel="0" collapsed="false">
      <c r="B26" s="22" t="n">
        <v>2020</v>
      </c>
      <c r="C26" s="23" t="n">
        <v>4.2</v>
      </c>
      <c r="D26" s="24" t="n">
        <v>2671</v>
      </c>
    </row>
    <row r="27" customFormat="false" ht="15" hidden="false" customHeight="true" outlineLevel="0" collapsed="false">
      <c r="B27" s="25" t="n">
        <v>2021</v>
      </c>
      <c r="C27" s="28" t="n">
        <v>-6.6</v>
      </c>
      <c r="D27" s="27" t="n">
        <v>3150</v>
      </c>
    </row>
    <row r="28" customFormat="false" ht="15" hidden="false" customHeight="true" outlineLevel="0" collapsed="false">
      <c r="B28" s="22" t="n">
        <v>2022</v>
      </c>
      <c r="C28" s="23" t="n">
        <v>8.7</v>
      </c>
      <c r="D28" s="24" t="n">
        <v>3389</v>
      </c>
    </row>
    <row r="29" customFormat="false" ht="15" hidden="false" customHeight="true" outlineLevel="0" collapsed="false">
      <c r="B29" s="25" t="n">
        <v>2023</v>
      </c>
      <c r="C29" s="26" t="n">
        <v>7.2</v>
      </c>
      <c r="D29" s="27" t="n">
        <v>3730</v>
      </c>
    </row>
    <row r="30" customFormat="false" ht="16.5" hidden="false" customHeight="true" outlineLevel="0" collapsed="false">
      <c r="B30" s="29" t="s">
        <v>66</v>
      </c>
      <c r="C30" s="30" t="n">
        <f aca="false">AVERAGE(C6:C29)</f>
        <v>6.4625</v>
      </c>
      <c r="D30" s="31" t="n">
        <f aca="false">AVERAGE(D6:D29)</f>
        <v>1802.58333333333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2"/>
  </cols>
  <sheetData>
    <row r="2" customFormat="false" ht="30" hidden="false" customHeight="true" outlineLevel="0" collapsed="false">
      <c r="B2" s="19" t="s">
        <v>67</v>
      </c>
      <c r="C2" s="19"/>
    </row>
    <row r="3" customFormat="false" ht="15.75" hidden="false" customHeight="true" outlineLevel="0" collapsed="false">
      <c r="B3" s="32" t="s">
        <v>68</v>
      </c>
      <c r="C3" s="32"/>
    </row>
    <row r="5" customFormat="false" ht="18" hidden="false" customHeight="true" outlineLevel="0" collapsed="false">
      <c r="B5" s="21" t="s">
        <v>63</v>
      </c>
      <c r="C5" s="21" t="s">
        <v>69</v>
      </c>
    </row>
    <row r="6" customFormat="false" ht="15" hidden="false" customHeight="true" outlineLevel="0" collapsed="false">
      <c r="B6" s="22" t="n">
        <v>2000</v>
      </c>
      <c r="C6" s="23" t="n">
        <v>4</v>
      </c>
    </row>
    <row r="7" customFormat="false" ht="15" hidden="false" customHeight="true" outlineLevel="0" collapsed="false">
      <c r="B7" s="25" t="n">
        <v>2001</v>
      </c>
      <c r="C7" s="26" t="n">
        <v>3.7</v>
      </c>
    </row>
    <row r="8" customFormat="false" ht="15" hidden="false" customHeight="true" outlineLevel="0" collapsed="false">
      <c r="B8" s="22" t="n">
        <v>2002</v>
      </c>
      <c r="C8" s="23" t="n">
        <v>4.3</v>
      </c>
    </row>
    <row r="9" customFormat="false" ht="15" hidden="false" customHeight="true" outlineLevel="0" collapsed="false">
      <c r="B9" s="25" t="n">
        <v>2003</v>
      </c>
      <c r="C9" s="26" t="n">
        <v>3.8</v>
      </c>
    </row>
    <row r="10" customFormat="false" ht="15" hidden="false" customHeight="true" outlineLevel="0" collapsed="false">
      <c r="B10" s="22" t="n">
        <v>2004</v>
      </c>
      <c r="C10" s="23" t="n">
        <v>3.8</v>
      </c>
    </row>
    <row r="11" customFormat="false" ht="15" hidden="false" customHeight="true" outlineLevel="0" collapsed="false">
      <c r="B11" s="25" t="n">
        <v>2005</v>
      </c>
      <c r="C11" s="26" t="n">
        <v>4.2</v>
      </c>
    </row>
    <row r="12" customFormat="false" ht="15" hidden="false" customHeight="true" outlineLevel="0" collapsed="false">
      <c r="B12" s="22" t="n">
        <v>2006</v>
      </c>
      <c r="C12" s="23" t="n">
        <v>5.8</v>
      </c>
    </row>
    <row r="13" customFormat="false" ht="15" hidden="false" customHeight="true" outlineLevel="0" collapsed="false">
      <c r="B13" s="25" t="n">
        <v>2007</v>
      </c>
      <c r="C13" s="26" t="n">
        <v>6.4</v>
      </c>
    </row>
    <row r="14" customFormat="false" ht="15" hidden="false" customHeight="true" outlineLevel="0" collapsed="false">
      <c r="B14" s="22" t="n">
        <v>2008</v>
      </c>
      <c r="C14" s="23" t="n">
        <v>8.3</v>
      </c>
    </row>
    <row r="15" customFormat="false" ht="15" hidden="false" customHeight="true" outlineLevel="0" collapsed="false">
      <c r="B15" s="25" t="n">
        <v>2009</v>
      </c>
      <c r="C15" s="26" t="n">
        <v>10.9</v>
      </c>
    </row>
    <row r="16" customFormat="false" ht="15" hidden="false" customHeight="true" outlineLevel="0" collapsed="false">
      <c r="B16" s="22" t="n">
        <v>2010</v>
      </c>
      <c r="C16" s="23" t="n">
        <v>11.9</v>
      </c>
    </row>
    <row r="17" customFormat="false" ht="15" hidden="false" customHeight="true" outlineLevel="0" collapsed="false">
      <c r="B17" s="25" t="n">
        <v>2011</v>
      </c>
      <c r="C17" s="26" t="n">
        <v>8.9</v>
      </c>
    </row>
    <row r="18" customFormat="false" ht="15" hidden="false" customHeight="true" outlineLevel="0" collapsed="false">
      <c r="B18" s="22" t="n">
        <v>2012</v>
      </c>
      <c r="C18" s="23" t="n">
        <v>9.3</v>
      </c>
    </row>
    <row r="19" customFormat="false" ht="15" hidden="false" customHeight="true" outlineLevel="0" collapsed="false">
      <c r="B19" s="25" t="n">
        <v>2013</v>
      </c>
      <c r="C19" s="26" t="n">
        <v>10.9</v>
      </c>
    </row>
    <row r="20" customFormat="false" ht="15" hidden="false" customHeight="true" outlineLevel="0" collapsed="false">
      <c r="B20" s="22" t="n">
        <v>2014</v>
      </c>
      <c r="C20" s="23" t="n">
        <v>6.4</v>
      </c>
    </row>
    <row r="21" customFormat="false" ht="15" hidden="false" customHeight="true" outlineLevel="0" collapsed="false">
      <c r="B21" s="25" t="n">
        <v>2015</v>
      </c>
      <c r="C21" s="26" t="n">
        <v>5.9</v>
      </c>
    </row>
    <row r="22" customFormat="false" ht="15" hidden="false" customHeight="true" outlineLevel="0" collapsed="false">
      <c r="B22" s="22" t="n">
        <v>2016</v>
      </c>
      <c r="C22" s="23" t="n">
        <v>4.5</v>
      </c>
    </row>
    <row r="23" customFormat="false" ht="15" hidden="false" customHeight="true" outlineLevel="0" collapsed="false">
      <c r="B23" s="25" t="n">
        <v>2017</v>
      </c>
      <c r="C23" s="26" t="n">
        <v>3.3</v>
      </c>
    </row>
    <row r="24" customFormat="false" ht="15" hidden="false" customHeight="true" outlineLevel="0" collapsed="false">
      <c r="B24" s="22" t="n">
        <v>2018</v>
      </c>
      <c r="C24" s="23" t="n">
        <v>3.9</v>
      </c>
    </row>
    <row r="25" customFormat="false" ht="15" hidden="false" customHeight="true" outlineLevel="0" collapsed="false">
      <c r="B25" s="25" t="n">
        <v>2019</v>
      </c>
      <c r="C25" s="26" t="n">
        <v>7.7</v>
      </c>
    </row>
    <row r="26" customFormat="false" ht="15" hidden="false" customHeight="true" outlineLevel="0" collapsed="false">
      <c r="B26" s="22" t="n">
        <v>2020</v>
      </c>
      <c r="C26" s="23" t="n">
        <v>6.2</v>
      </c>
    </row>
    <row r="27" customFormat="false" ht="15" hidden="false" customHeight="true" outlineLevel="0" collapsed="false">
      <c r="B27" s="25" t="n">
        <v>2021</v>
      </c>
      <c r="C27" s="26" t="n">
        <v>5.1</v>
      </c>
    </row>
    <row r="28" customFormat="false" ht="15" hidden="false" customHeight="true" outlineLevel="0" collapsed="false">
      <c r="B28" s="22" t="n">
        <v>2022</v>
      </c>
      <c r="C28" s="23" t="n">
        <v>6.7</v>
      </c>
    </row>
    <row r="29" customFormat="false" ht="15" hidden="false" customHeight="true" outlineLevel="0" collapsed="false">
      <c r="B29" s="25" t="n">
        <v>2023</v>
      </c>
      <c r="C29" s="26" t="n">
        <v>5.4</v>
      </c>
    </row>
    <row r="30" customFormat="false" ht="16.5" hidden="false" customHeight="true" outlineLevel="0" collapsed="false">
      <c r="B30" s="29" t="s">
        <v>66</v>
      </c>
      <c r="C30" s="30" t="n">
        <f aca="false">AVERAGE(C6:C29)</f>
        <v>6.30416666666667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6E"/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</cols>
  <sheetData>
    <row r="2" customFormat="false" ht="30" hidden="false" customHeight="true" outlineLevel="0" collapsed="false">
      <c r="B2" s="19" t="s">
        <v>70</v>
      </c>
      <c r="C2" s="19"/>
    </row>
    <row r="3" customFormat="false" ht="15.75" hidden="false" customHeight="true" outlineLevel="0" collapsed="false">
      <c r="B3" s="33" t="s">
        <v>68</v>
      </c>
      <c r="C3" s="33"/>
    </row>
    <row r="5" customFormat="false" ht="18" hidden="false" customHeight="true" outlineLevel="0" collapsed="false">
      <c r="B5" s="21" t="s">
        <v>63</v>
      </c>
      <c r="C5" s="21" t="s">
        <v>71</v>
      </c>
    </row>
    <row r="6" customFormat="false" ht="15" hidden="false" customHeight="true" outlineLevel="0" collapsed="false">
      <c r="B6" s="22" t="n">
        <v>2000</v>
      </c>
      <c r="C6" s="34" t="n">
        <v>3.6</v>
      </c>
    </row>
    <row r="7" customFormat="false" ht="15" hidden="false" customHeight="true" outlineLevel="0" collapsed="false">
      <c r="B7" s="25" t="n">
        <v>2001</v>
      </c>
      <c r="C7" s="35" t="n">
        <v>5.5</v>
      </c>
    </row>
    <row r="8" customFormat="false" ht="15" hidden="false" customHeight="true" outlineLevel="0" collapsed="false">
      <c r="B8" s="22" t="n">
        <v>2002</v>
      </c>
      <c r="C8" s="34" t="n">
        <v>5.6</v>
      </c>
    </row>
    <row r="9" customFormat="false" ht="15" hidden="false" customHeight="true" outlineLevel="0" collapsed="false">
      <c r="B9" s="25" t="n">
        <v>2003</v>
      </c>
      <c r="C9" s="35" t="n">
        <v>4.3</v>
      </c>
    </row>
    <row r="10" customFormat="false" ht="15" hidden="false" customHeight="true" outlineLevel="0" collapsed="false">
      <c r="B10" s="22" t="n">
        <v>2004</v>
      </c>
      <c r="C10" s="34" t="n">
        <v>5.8</v>
      </c>
    </row>
    <row r="11" customFormat="false" ht="15" hidden="false" customHeight="true" outlineLevel="0" collapsed="false">
      <c r="B11" s="25" t="n">
        <v>2005</v>
      </c>
      <c r="C11" s="35" t="n">
        <v>7.6</v>
      </c>
    </row>
    <row r="12" customFormat="false" ht="15" hidden="false" customHeight="true" outlineLevel="0" collapsed="false">
      <c r="B12" s="22" t="n">
        <v>2006</v>
      </c>
      <c r="C12" s="34" t="n">
        <v>20.3</v>
      </c>
    </row>
    <row r="13" customFormat="false" ht="15" hidden="false" customHeight="true" outlineLevel="0" collapsed="false">
      <c r="B13" s="25" t="n">
        <v>2007</v>
      </c>
      <c r="C13" s="35" t="n">
        <v>25.2</v>
      </c>
    </row>
    <row r="14" customFormat="false" ht="15" hidden="false" customHeight="true" outlineLevel="0" collapsed="false">
      <c r="B14" s="22" t="n">
        <v>2008</v>
      </c>
      <c r="C14" s="34" t="n">
        <v>43.4</v>
      </c>
    </row>
    <row r="15" customFormat="false" ht="15" hidden="false" customHeight="true" outlineLevel="0" collapsed="false">
      <c r="B15" s="25" t="n">
        <v>2009</v>
      </c>
      <c r="C15" s="35" t="n">
        <v>35.6</v>
      </c>
    </row>
    <row r="16" customFormat="false" ht="15" hidden="false" customHeight="true" outlineLevel="0" collapsed="false">
      <c r="B16" s="22" t="n">
        <v>2010</v>
      </c>
      <c r="C16" s="34" t="n">
        <v>27.4</v>
      </c>
    </row>
    <row r="17" customFormat="false" ht="15" hidden="false" customHeight="true" outlineLevel="0" collapsed="false">
      <c r="B17" s="25" t="n">
        <v>2011</v>
      </c>
      <c r="C17" s="35" t="n">
        <v>36.5</v>
      </c>
    </row>
    <row r="18" customFormat="false" ht="15" hidden="false" customHeight="true" outlineLevel="0" collapsed="false">
      <c r="B18" s="22" t="n">
        <v>2012</v>
      </c>
      <c r="C18" s="34" t="n">
        <v>24.6</v>
      </c>
    </row>
    <row r="19" customFormat="false" ht="15" hidden="false" customHeight="true" outlineLevel="0" collapsed="false">
      <c r="B19" s="25" t="n">
        <v>2013</v>
      </c>
      <c r="C19" s="35" t="n">
        <v>28.2</v>
      </c>
    </row>
    <row r="20" customFormat="false" ht="15" hidden="false" customHeight="true" outlineLevel="0" collapsed="false">
      <c r="B20" s="22" t="n">
        <v>2014</v>
      </c>
      <c r="C20" s="34" t="n">
        <v>34.6</v>
      </c>
    </row>
    <row r="21" customFormat="false" ht="15" hidden="false" customHeight="true" outlineLevel="0" collapsed="false">
      <c r="B21" s="25" t="n">
        <v>2015</v>
      </c>
      <c r="C21" s="35" t="n">
        <v>44</v>
      </c>
    </row>
    <row r="22" customFormat="false" ht="15" hidden="false" customHeight="true" outlineLevel="0" collapsed="false">
      <c r="B22" s="22" t="n">
        <v>2016</v>
      </c>
      <c r="C22" s="34" t="n">
        <v>44.5</v>
      </c>
    </row>
    <row r="23" customFormat="false" ht="15" hidden="false" customHeight="true" outlineLevel="0" collapsed="false">
      <c r="B23" s="25" t="n">
        <v>2017</v>
      </c>
      <c r="C23" s="35" t="n">
        <v>60.1</v>
      </c>
    </row>
    <row r="24" customFormat="false" ht="15" hidden="false" customHeight="true" outlineLevel="0" collapsed="false">
      <c r="B24" s="22" t="n">
        <v>2018</v>
      </c>
      <c r="C24" s="34" t="n">
        <v>42.2</v>
      </c>
    </row>
    <row r="25" customFormat="false" ht="15" hidden="false" customHeight="true" outlineLevel="0" collapsed="false">
      <c r="B25" s="25" t="n">
        <v>2019</v>
      </c>
      <c r="C25" s="35" t="n">
        <v>50.6</v>
      </c>
    </row>
    <row r="26" customFormat="false" ht="15" hidden="false" customHeight="true" outlineLevel="0" collapsed="false">
      <c r="B26" s="22" t="n">
        <v>2020</v>
      </c>
      <c r="C26" s="34" t="n">
        <v>64.4</v>
      </c>
    </row>
    <row r="27" customFormat="false" ht="15" hidden="false" customHeight="true" outlineLevel="0" collapsed="false">
      <c r="B27" s="25" t="n">
        <v>2021</v>
      </c>
      <c r="C27" s="35" t="n">
        <v>81.9</v>
      </c>
    </row>
    <row r="28" customFormat="false" ht="15" hidden="false" customHeight="true" outlineLevel="0" collapsed="false">
      <c r="B28" s="22" t="n">
        <v>2022</v>
      </c>
      <c r="C28" s="34" t="n">
        <v>84.8</v>
      </c>
    </row>
    <row r="29" customFormat="false" ht="15" hidden="false" customHeight="true" outlineLevel="0" collapsed="false">
      <c r="B29" s="25" t="n">
        <v>2023</v>
      </c>
      <c r="C29" s="35" t="n">
        <v>71.4</v>
      </c>
    </row>
    <row r="30" customFormat="false" ht="16.5" hidden="false" customHeight="true" outlineLevel="0" collapsed="false">
      <c r="B30" s="29" t="s">
        <v>66</v>
      </c>
      <c r="C30" s="36" t="n">
        <f aca="false">AVERAGE(C6:C29)</f>
        <v>35.5041666666667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6256"/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0"/>
  </cols>
  <sheetData>
    <row r="2" customFormat="false" ht="30" hidden="false" customHeight="true" outlineLevel="0" collapsed="false">
      <c r="B2" s="19" t="s">
        <v>72</v>
      </c>
      <c r="C2" s="19"/>
    </row>
    <row r="3" customFormat="false" ht="15.75" hidden="false" customHeight="true" outlineLevel="0" collapsed="false">
      <c r="B3" s="37" t="s">
        <v>68</v>
      </c>
      <c r="C3" s="37"/>
    </row>
    <row r="5" customFormat="false" ht="18" hidden="false" customHeight="true" outlineLevel="0" collapsed="false">
      <c r="B5" s="21" t="s">
        <v>63</v>
      </c>
      <c r="C5" s="21" t="s">
        <v>73</v>
      </c>
    </row>
    <row r="6" customFormat="false" ht="15" hidden="false" customHeight="true" outlineLevel="0" collapsed="false">
      <c r="B6" s="22" t="n">
        <v>2000</v>
      </c>
      <c r="C6" s="23" t="n">
        <v>57.8</v>
      </c>
    </row>
    <row r="7" customFormat="false" ht="15" hidden="false" customHeight="true" outlineLevel="0" collapsed="false">
      <c r="B7" s="25" t="n">
        <v>2001</v>
      </c>
      <c r="C7" s="26" t="n">
        <v>58.1</v>
      </c>
    </row>
    <row r="8" customFormat="false" ht="15" hidden="false" customHeight="true" outlineLevel="0" collapsed="false">
      <c r="B8" s="22" t="n">
        <v>2002</v>
      </c>
      <c r="C8" s="23" t="n">
        <v>57.9</v>
      </c>
    </row>
    <row r="9" customFormat="false" ht="15" hidden="false" customHeight="true" outlineLevel="0" collapsed="false">
      <c r="B9" s="25" t="n">
        <v>2003</v>
      </c>
      <c r="C9" s="26" t="n">
        <v>57.5</v>
      </c>
    </row>
    <row r="10" customFormat="false" ht="15" hidden="false" customHeight="true" outlineLevel="0" collapsed="false">
      <c r="B10" s="22" t="n">
        <v>2004</v>
      </c>
      <c r="C10" s="23" t="n">
        <v>57.2</v>
      </c>
    </row>
    <row r="11" customFormat="false" ht="15" hidden="false" customHeight="true" outlineLevel="0" collapsed="false">
      <c r="B11" s="25" t="n">
        <v>2005</v>
      </c>
      <c r="C11" s="26" t="n">
        <v>57</v>
      </c>
    </row>
    <row r="12" customFormat="false" ht="15" hidden="false" customHeight="true" outlineLevel="0" collapsed="false">
      <c r="B12" s="22" t="n">
        <v>2006</v>
      </c>
      <c r="C12" s="23" t="n">
        <v>56.8</v>
      </c>
    </row>
    <row r="13" customFormat="false" ht="15" hidden="false" customHeight="true" outlineLevel="0" collapsed="false">
      <c r="B13" s="25" t="n">
        <v>2007</v>
      </c>
      <c r="C13" s="26" t="n">
        <v>56.5</v>
      </c>
    </row>
    <row r="14" customFormat="false" ht="15" hidden="false" customHeight="true" outlineLevel="0" collapsed="false">
      <c r="B14" s="22" t="n">
        <v>2008</v>
      </c>
      <c r="C14" s="23" t="n">
        <v>56.1</v>
      </c>
    </row>
    <row r="15" customFormat="false" ht="15" hidden="false" customHeight="true" outlineLevel="0" collapsed="false">
      <c r="B15" s="25" t="n">
        <v>2009</v>
      </c>
      <c r="C15" s="26" t="n">
        <v>55.8</v>
      </c>
    </row>
    <row r="16" customFormat="false" ht="15" hidden="false" customHeight="true" outlineLevel="0" collapsed="false">
      <c r="B16" s="22" t="n">
        <v>2010</v>
      </c>
      <c r="C16" s="23" t="n">
        <v>55.5</v>
      </c>
    </row>
    <row r="17" customFormat="false" ht="15" hidden="false" customHeight="true" outlineLevel="0" collapsed="false">
      <c r="B17" s="25" t="n">
        <v>2011</v>
      </c>
      <c r="C17" s="26" t="n">
        <v>55.2</v>
      </c>
    </row>
    <row r="18" customFormat="false" ht="15" hidden="false" customHeight="true" outlineLevel="0" collapsed="false">
      <c r="B18" s="22" t="n">
        <v>2012</v>
      </c>
      <c r="C18" s="23" t="n">
        <v>54.9</v>
      </c>
    </row>
    <row r="19" customFormat="false" ht="15" hidden="false" customHeight="true" outlineLevel="0" collapsed="false">
      <c r="B19" s="25" t="n">
        <v>2013</v>
      </c>
      <c r="C19" s="26" t="n">
        <v>54.6</v>
      </c>
    </row>
    <row r="20" customFormat="false" ht="15" hidden="false" customHeight="true" outlineLevel="0" collapsed="false">
      <c r="B20" s="22" t="n">
        <v>2014</v>
      </c>
      <c r="C20" s="23" t="n">
        <v>54.3</v>
      </c>
    </row>
    <row r="21" customFormat="false" ht="15" hidden="false" customHeight="true" outlineLevel="0" collapsed="false">
      <c r="B21" s="25" t="n">
        <v>2015</v>
      </c>
      <c r="C21" s="26" t="n">
        <v>53.9</v>
      </c>
    </row>
    <row r="22" customFormat="false" ht="15" hidden="false" customHeight="true" outlineLevel="0" collapsed="false">
      <c r="B22" s="22" t="n">
        <v>2016</v>
      </c>
      <c r="C22" s="23" t="n">
        <v>53.7</v>
      </c>
    </row>
    <row r="23" customFormat="false" ht="15" hidden="false" customHeight="true" outlineLevel="0" collapsed="false">
      <c r="B23" s="25" t="n">
        <v>2017</v>
      </c>
      <c r="C23" s="26" t="n">
        <v>53.5</v>
      </c>
    </row>
    <row r="24" customFormat="false" ht="15" hidden="false" customHeight="true" outlineLevel="0" collapsed="false">
      <c r="B24" s="22" t="n">
        <v>2018</v>
      </c>
      <c r="C24" s="23" t="n">
        <v>53.2</v>
      </c>
    </row>
    <row r="25" customFormat="false" ht="15" hidden="false" customHeight="true" outlineLevel="0" collapsed="false">
      <c r="B25" s="25" t="n">
        <v>2019</v>
      </c>
      <c r="C25" s="26" t="n">
        <v>52.9</v>
      </c>
    </row>
    <row r="26" customFormat="false" ht="15" hidden="false" customHeight="true" outlineLevel="0" collapsed="false">
      <c r="B26" s="22" t="n">
        <v>2020</v>
      </c>
      <c r="C26" s="23" t="n">
        <v>46</v>
      </c>
    </row>
    <row r="27" customFormat="false" ht="15" hidden="false" customHeight="true" outlineLevel="0" collapsed="false">
      <c r="B27" s="25" t="n">
        <v>2021</v>
      </c>
      <c r="C27" s="26" t="n">
        <v>43.8</v>
      </c>
    </row>
    <row r="28" customFormat="false" ht="15" hidden="false" customHeight="true" outlineLevel="0" collapsed="false">
      <c r="B28" s="22" t="n">
        <v>2022</v>
      </c>
      <c r="C28" s="23" t="n">
        <v>44.5</v>
      </c>
    </row>
    <row r="29" customFormat="false" ht="15" hidden="false" customHeight="true" outlineLevel="0" collapsed="false">
      <c r="B29" s="25" t="n">
        <v>2023</v>
      </c>
      <c r="C29" s="26" t="n">
        <v>47.2</v>
      </c>
    </row>
    <row r="30" customFormat="false" ht="16.5" hidden="false" customHeight="true" outlineLevel="0" collapsed="false">
      <c r="B30" s="29" t="s">
        <v>66</v>
      </c>
      <c r="C30" s="30" t="n">
        <f aca="false">AVERAGE(C6:C29)</f>
        <v>53.9125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808"/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20"/>
    <col collapsed="false" customWidth="true" hidden="false" outlineLevel="0" max="5" min="5" style="0" width="24"/>
  </cols>
  <sheetData>
    <row r="2" customFormat="false" ht="30" hidden="false" customHeight="true" outlineLevel="0" collapsed="false">
      <c r="B2" s="19" t="s">
        <v>74</v>
      </c>
      <c r="C2" s="19"/>
      <c r="D2" s="19"/>
      <c r="E2" s="19"/>
    </row>
    <row r="3" customFormat="false" ht="15.75" hidden="false" customHeight="true" outlineLevel="0" collapsed="false">
      <c r="B3" s="20" t="s">
        <v>75</v>
      </c>
      <c r="C3" s="20"/>
      <c r="D3" s="20"/>
      <c r="E3" s="20"/>
    </row>
    <row r="5" customFormat="false" ht="18" hidden="false" customHeight="true" outlineLevel="0" collapsed="false">
      <c r="B5" s="21" t="s">
        <v>63</v>
      </c>
      <c r="C5" s="21" t="s">
        <v>76</v>
      </c>
      <c r="D5" s="21" t="s">
        <v>77</v>
      </c>
      <c r="E5" s="21" t="s">
        <v>78</v>
      </c>
    </row>
    <row r="6" customFormat="false" ht="15" hidden="false" customHeight="true" outlineLevel="0" collapsed="false">
      <c r="B6" s="22" t="n">
        <v>2000</v>
      </c>
      <c r="C6" s="23" t="n">
        <v>13.3</v>
      </c>
      <c r="D6" s="23" t="n">
        <v>13.8</v>
      </c>
      <c r="E6" s="38" t="n">
        <v>-0.5</v>
      </c>
    </row>
    <row r="7" customFormat="false" ht="15" hidden="false" customHeight="true" outlineLevel="0" collapsed="false">
      <c r="B7" s="25" t="n">
        <v>2001</v>
      </c>
      <c r="C7" s="26" t="n">
        <v>13.2</v>
      </c>
      <c r="D7" s="26" t="n">
        <v>14.2</v>
      </c>
      <c r="E7" s="28" t="n">
        <v>-1</v>
      </c>
    </row>
    <row r="8" customFormat="false" ht="15" hidden="false" customHeight="true" outlineLevel="0" collapsed="false">
      <c r="B8" s="22" t="n">
        <v>2002</v>
      </c>
      <c r="C8" s="23" t="n">
        <v>14.6</v>
      </c>
      <c r="D8" s="23" t="n">
        <v>16</v>
      </c>
      <c r="E8" s="38" t="n">
        <v>-1.4</v>
      </c>
    </row>
    <row r="9" customFormat="false" ht="15" hidden="false" customHeight="true" outlineLevel="0" collapsed="false">
      <c r="B9" s="25" t="n">
        <v>2003</v>
      </c>
      <c r="C9" s="26" t="n">
        <v>15.4</v>
      </c>
      <c r="D9" s="26" t="n">
        <v>17.1</v>
      </c>
      <c r="E9" s="28" t="n">
        <v>-1.7</v>
      </c>
    </row>
    <row r="10" customFormat="false" ht="15" hidden="false" customHeight="true" outlineLevel="0" collapsed="false">
      <c r="B10" s="22" t="n">
        <v>2004</v>
      </c>
      <c r="C10" s="23" t="n">
        <v>18.7</v>
      </c>
      <c r="D10" s="23" t="n">
        <v>22.3</v>
      </c>
      <c r="E10" s="38" t="n">
        <v>-3.6</v>
      </c>
    </row>
    <row r="11" customFormat="false" ht="15" hidden="false" customHeight="true" outlineLevel="0" collapsed="false">
      <c r="B11" s="25" t="n">
        <v>2005</v>
      </c>
      <c r="C11" s="26" t="n">
        <v>20.3</v>
      </c>
      <c r="D11" s="26" t="n">
        <v>25.3</v>
      </c>
      <c r="E11" s="28" t="n">
        <v>-5</v>
      </c>
    </row>
    <row r="12" customFormat="false" ht="15" hidden="false" customHeight="true" outlineLevel="0" collapsed="false">
      <c r="B12" s="22" t="n">
        <v>2006</v>
      </c>
      <c r="C12" s="23" t="n">
        <v>22.6</v>
      </c>
      <c r="D12" s="23" t="n">
        <v>28.4</v>
      </c>
      <c r="E12" s="38" t="n">
        <v>-5.8</v>
      </c>
    </row>
    <row r="13" customFormat="false" ht="15" hidden="false" customHeight="true" outlineLevel="0" collapsed="false">
      <c r="B13" s="25" t="n">
        <v>2007</v>
      </c>
      <c r="C13" s="26" t="n">
        <v>20.6</v>
      </c>
      <c r="D13" s="26" t="n">
        <v>23.1</v>
      </c>
      <c r="E13" s="28" t="n">
        <v>-2.5</v>
      </c>
    </row>
    <row r="14" customFormat="false" ht="15" hidden="false" customHeight="true" outlineLevel="0" collapsed="false">
      <c r="B14" s="22" t="n">
        <v>2008</v>
      </c>
      <c r="C14" s="23" t="n">
        <v>24.9</v>
      </c>
      <c r="D14" s="23" t="n">
        <v>30.7</v>
      </c>
      <c r="E14" s="38" t="n">
        <v>-5.8</v>
      </c>
    </row>
    <row r="15" customFormat="false" ht="15" hidden="false" customHeight="true" outlineLevel="0" collapsed="false">
      <c r="B15" s="25" t="n">
        <v>2009</v>
      </c>
      <c r="C15" s="26" t="n">
        <v>20.2</v>
      </c>
      <c r="D15" s="26" t="n">
        <v>24.5</v>
      </c>
      <c r="E15" s="28" t="n">
        <v>-4.3</v>
      </c>
    </row>
    <row r="16" customFormat="false" ht="15" hidden="false" customHeight="true" outlineLevel="0" collapsed="false">
      <c r="B16" s="22" t="n">
        <v>2010</v>
      </c>
      <c r="C16" s="23" t="n">
        <v>22.4</v>
      </c>
      <c r="D16" s="23" t="n">
        <v>27.8</v>
      </c>
      <c r="E16" s="38" t="n">
        <v>-5.4</v>
      </c>
    </row>
    <row r="17" customFormat="false" ht="15" hidden="false" customHeight="true" outlineLevel="0" collapsed="false">
      <c r="B17" s="25" t="n">
        <v>2011</v>
      </c>
      <c r="C17" s="26" t="n">
        <v>24.9</v>
      </c>
      <c r="D17" s="26" t="n">
        <v>32.6</v>
      </c>
      <c r="E17" s="28" t="n">
        <v>-7.7</v>
      </c>
    </row>
    <row r="18" customFormat="false" ht="15" hidden="false" customHeight="true" outlineLevel="0" collapsed="false">
      <c r="B18" s="22" t="n">
        <v>2012</v>
      </c>
      <c r="C18" s="23" t="n">
        <v>24.4</v>
      </c>
      <c r="D18" s="23" t="n">
        <v>31.3</v>
      </c>
      <c r="E18" s="38" t="n">
        <v>-6.9</v>
      </c>
    </row>
    <row r="19" customFormat="false" ht="15" hidden="false" customHeight="true" outlineLevel="0" collapsed="false">
      <c r="B19" s="25" t="n">
        <v>2013</v>
      </c>
      <c r="C19" s="26" t="n">
        <v>25.4</v>
      </c>
      <c r="D19" s="26" t="n">
        <v>28.7</v>
      </c>
      <c r="E19" s="28" t="n">
        <v>-3.3</v>
      </c>
    </row>
    <row r="20" customFormat="false" ht="15" hidden="false" customHeight="true" outlineLevel="0" collapsed="false">
      <c r="B20" s="22" t="n">
        <v>2014</v>
      </c>
      <c r="C20" s="23" t="n">
        <v>23.4</v>
      </c>
      <c r="D20" s="23" t="n">
        <v>25</v>
      </c>
      <c r="E20" s="38" t="n">
        <v>-1.6</v>
      </c>
    </row>
    <row r="21" customFormat="false" ht="15" hidden="false" customHeight="true" outlineLevel="0" collapsed="false">
      <c r="B21" s="25" t="n">
        <v>2015</v>
      </c>
      <c r="C21" s="26" t="n">
        <v>19.9</v>
      </c>
      <c r="D21" s="26" t="n">
        <v>21.2</v>
      </c>
      <c r="E21" s="28" t="n">
        <v>-1.3</v>
      </c>
    </row>
    <row r="22" customFormat="false" ht="15" hidden="false" customHeight="true" outlineLevel="0" collapsed="false">
      <c r="B22" s="22" t="n">
        <v>2016</v>
      </c>
      <c r="C22" s="23" t="n">
        <v>19.5</v>
      </c>
      <c r="D22" s="23" t="n">
        <v>20.5</v>
      </c>
      <c r="E22" s="38" t="n">
        <v>-1</v>
      </c>
    </row>
    <row r="23" customFormat="false" ht="15" hidden="false" customHeight="true" outlineLevel="0" collapsed="false">
      <c r="B23" s="25" t="n">
        <v>2017</v>
      </c>
      <c r="C23" s="26" t="n">
        <v>18.8</v>
      </c>
      <c r="D23" s="26" t="n">
        <v>20.2</v>
      </c>
      <c r="E23" s="28" t="n">
        <v>-1.4</v>
      </c>
    </row>
    <row r="24" customFormat="false" ht="15" hidden="false" customHeight="true" outlineLevel="0" collapsed="false">
      <c r="B24" s="22" t="n">
        <v>2018</v>
      </c>
      <c r="C24" s="23" t="n">
        <v>19.9</v>
      </c>
      <c r="D24" s="23" t="n">
        <v>21.7</v>
      </c>
      <c r="E24" s="38" t="n">
        <v>-1.8</v>
      </c>
    </row>
    <row r="25" customFormat="false" ht="15" hidden="false" customHeight="true" outlineLevel="0" collapsed="false">
      <c r="B25" s="25" t="n">
        <v>2019</v>
      </c>
      <c r="C25" s="26" t="n">
        <v>18.4</v>
      </c>
      <c r="D25" s="26" t="n">
        <v>20.8</v>
      </c>
      <c r="E25" s="28" t="n">
        <v>-2.4</v>
      </c>
    </row>
    <row r="26" customFormat="false" ht="15" hidden="false" customHeight="true" outlineLevel="0" collapsed="false">
      <c r="B26" s="22" t="n">
        <v>2020</v>
      </c>
      <c r="C26" s="23" t="n">
        <v>18.5</v>
      </c>
      <c r="D26" s="23" t="n">
        <v>19.6</v>
      </c>
      <c r="E26" s="38" t="n">
        <v>-1.1</v>
      </c>
    </row>
    <row r="27" customFormat="false" ht="15" hidden="false" customHeight="true" outlineLevel="0" collapsed="false">
      <c r="B27" s="25" t="n">
        <v>2021</v>
      </c>
      <c r="C27" s="26" t="n">
        <v>21.3</v>
      </c>
      <c r="D27" s="26" t="n">
        <v>24.7</v>
      </c>
      <c r="E27" s="28" t="n">
        <v>-3.4</v>
      </c>
    </row>
    <row r="28" customFormat="false" ht="15" hidden="false" customHeight="true" outlineLevel="0" collapsed="false">
      <c r="B28" s="22" t="n">
        <v>2022</v>
      </c>
      <c r="C28" s="23" t="n">
        <v>22.4</v>
      </c>
      <c r="D28" s="23" t="n">
        <v>26</v>
      </c>
      <c r="E28" s="38" t="n">
        <v>-3.6</v>
      </c>
    </row>
    <row r="29" customFormat="false" ht="15" hidden="false" customHeight="true" outlineLevel="0" collapsed="false">
      <c r="B29" s="25" t="n">
        <v>2023</v>
      </c>
      <c r="C29" s="26" t="n">
        <v>21.8</v>
      </c>
      <c r="D29" s="26" t="n">
        <v>24.9</v>
      </c>
      <c r="E29" s="28" t="n">
        <v>-3.1</v>
      </c>
    </row>
    <row r="30" customFormat="false" ht="16.5" hidden="false" customHeight="true" outlineLevel="0" collapsed="false">
      <c r="B30" s="29" t="s">
        <v>66</v>
      </c>
      <c r="C30" s="30" t="n">
        <f aca="false">AVERAGE(C6:C29)</f>
        <v>20.2</v>
      </c>
      <c r="D30" s="30" t="n">
        <f aca="false">AVERAGE(D6:D29)</f>
        <v>23.35</v>
      </c>
      <c r="E30" s="30" t="n">
        <f aca="false">AVERAGE(E6:E29)</f>
        <v>-3.15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60A"/>
    <pageSetUpPr fitToPage="false"/>
  </sheetPr>
  <dimension ref="B2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9" min="7" style="0" width="20"/>
  </cols>
  <sheetData>
    <row r="2" customFormat="false" ht="30" hidden="false" customHeight="true" outlineLevel="0" collapsed="false">
      <c r="B2" s="19" t="s">
        <v>79</v>
      </c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B3" s="39" t="s">
        <v>80</v>
      </c>
      <c r="C3" s="39"/>
      <c r="D3" s="39"/>
      <c r="E3" s="39"/>
      <c r="F3" s="39"/>
      <c r="G3" s="39"/>
      <c r="H3" s="39"/>
      <c r="I3" s="39"/>
    </row>
    <row r="5" customFormat="false" ht="18" hidden="false" customHeight="true" outlineLevel="0" collapsed="false"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</row>
    <row r="6" customFormat="false" ht="15" hidden="false" customHeight="true" outlineLevel="0" collapsed="false">
      <c r="B6" s="40" t="n">
        <v>2000</v>
      </c>
      <c r="C6" s="23" t="n">
        <v>5.4</v>
      </c>
      <c r="D6" s="24" t="n">
        <v>476</v>
      </c>
      <c r="E6" s="23" t="n">
        <v>4</v>
      </c>
      <c r="F6" s="34" t="n">
        <v>3.6</v>
      </c>
      <c r="G6" s="23" t="n">
        <v>57.8</v>
      </c>
      <c r="H6" s="23" t="n">
        <v>13.3</v>
      </c>
      <c r="I6" s="23" t="n">
        <v>13.8</v>
      </c>
    </row>
    <row r="7" customFormat="false" ht="15" hidden="false" customHeight="true" outlineLevel="0" collapsed="false">
      <c r="B7" s="41" t="n">
        <v>2001</v>
      </c>
      <c r="C7" s="26" t="n">
        <v>5.8</v>
      </c>
      <c r="D7" s="27" t="n">
        <v>494</v>
      </c>
      <c r="E7" s="26" t="n">
        <v>3.7</v>
      </c>
      <c r="F7" s="35" t="n">
        <v>5.5</v>
      </c>
      <c r="G7" s="26" t="n">
        <v>58.1</v>
      </c>
      <c r="H7" s="26" t="n">
        <v>13.2</v>
      </c>
      <c r="I7" s="26" t="n">
        <v>14.2</v>
      </c>
    </row>
    <row r="8" customFormat="false" ht="15" hidden="false" customHeight="true" outlineLevel="0" collapsed="false">
      <c r="B8" s="40" t="n">
        <v>2002</v>
      </c>
      <c r="C8" s="23" t="n">
        <v>3.8</v>
      </c>
      <c r="D8" s="24" t="n">
        <v>524</v>
      </c>
      <c r="E8" s="23" t="n">
        <v>4.3</v>
      </c>
      <c r="F8" s="34" t="n">
        <v>5.6</v>
      </c>
      <c r="G8" s="23" t="n">
        <v>57.9</v>
      </c>
      <c r="H8" s="23" t="n">
        <v>14.6</v>
      </c>
      <c r="I8" s="23" t="n">
        <v>16</v>
      </c>
    </row>
    <row r="9" customFormat="false" ht="15" hidden="false" customHeight="true" outlineLevel="0" collapsed="false">
      <c r="B9" s="41" t="n">
        <v>2003</v>
      </c>
      <c r="C9" s="26" t="n">
        <v>7.9</v>
      </c>
      <c r="D9" s="27" t="n">
        <v>618</v>
      </c>
      <c r="E9" s="26" t="n">
        <v>3.8</v>
      </c>
      <c r="F9" s="35" t="n">
        <v>4.3</v>
      </c>
      <c r="G9" s="26" t="n">
        <v>57.5</v>
      </c>
      <c r="H9" s="26" t="n">
        <v>15.4</v>
      </c>
      <c r="I9" s="26" t="n">
        <v>17.1</v>
      </c>
    </row>
    <row r="10" customFormat="false" ht="15" hidden="false" customHeight="true" outlineLevel="0" collapsed="false">
      <c r="B10" s="40" t="n">
        <v>2004</v>
      </c>
      <c r="C10" s="23" t="n">
        <v>7.8</v>
      </c>
      <c r="D10" s="24" t="n">
        <v>722</v>
      </c>
      <c r="E10" s="23" t="n">
        <v>3.8</v>
      </c>
      <c r="F10" s="34" t="n">
        <v>5.8</v>
      </c>
      <c r="G10" s="23" t="n">
        <v>57.2</v>
      </c>
      <c r="H10" s="23" t="n">
        <v>18.7</v>
      </c>
      <c r="I10" s="23" t="n">
        <v>22.3</v>
      </c>
    </row>
    <row r="11" customFormat="false" ht="15" hidden="false" customHeight="true" outlineLevel="0" collapsed="false">
      <c r="B11" s="41" t="n">
        <v>2005</v>
      </c>
      <c r="C11" s="26" t="n">
        <v>9.3</v>
      </c>
      <c r="D11" s="27" t="n">
        <v>834</v>
      </c>
      <c r="E11" s="26" t="n">
        <v>4.2</v>
      </c>
      <c r="F11" s="35" t="n">
        <v>7.6</v>
      </c>
      <c r="G11" s="26" t="n">
        <v>57</v>
      </c>
      <c r="H11" s="26" t="n">
        <v>20.3</v>
      </c>
      <c r="I11" s="26" t="n">
        <v>25.3</v>
      </c>
    </row>
    <row r="12" customFormat="false" ht="15" hidden="false" customHeight="true" outlineLevel="0" collapsed="false">
      <c r="B12" s="40" t="n">
        <v>2006</v>
      </c>
      <c r="C12" s="23" t="n">
        <v>9.3</v>
      </c>
      <c r="D12" s="24" t="n">
        <v>949</v>
      </c>
      <c r="E12" s="23" t="n">
        <v>5.8</v>
      </c>
      <c r="F12" s="34" t="n">
        <v>20.3</v>
      </c>
      <c r="G12" s="23" t="n">
        <v>56.8</v>
      </c>
      <c r="H12" s="23" t="n">
        <v>22.6</v>
      </c>
      <c r="I12" s="23" t="n">
        <v>28.4</v>
      </c>
    </row>
    <row r="13" customFormat="false" ht="15" hidden="false" customHeight="true" outlineLevel="0" collapsed="false">
      <c r="B13" s="41" t="n">
        <v>2007</v>
      </c>
      <c r="C13" s="26" t="n">
        <v>9.8</v>
      </c>
      <c r="D13" s="27" t="n">
        <v>1239</v>
      </c>
      <c r="E13" s="26" t="n">
        <v>6.4</v>
      </c>
      <c r="F13" s="35" t="n">
        <v>25.2</v>
      </c>
      <c r="G13" s="26" t="n">
        <v>56.5</v>
      </c>
      <c r="H13" s="26" t="n">
        <v>20.6</v>
      </c>
      <c r="I13" s="26" t="n">
        <v>23.1</v>
      </c>
    </row>
    <row r="14" customFormat="false" ht="15" hidden="false" customHeight="true" outlineLevel="0" collapsed="false">
      <c r="B14" s="42" t="n">
        <v>2008</v>
      </c>
      <c r="C14" s="43" t="n">
        <v>3.9</v>
      </c>
      <c r="D14" s="44" t="n">
        <v>1224</v>
      </c>
      <c r="E14" s="43" t="n">
        <v>8.3</v>
      </c>
      <c r="F14" s="45" t="n">
        <v>43.4</v>
      </c>
      <c r="G14" s="43" t="n">
        <v>56.1</v>
      </c>
      <c r="H14" s="43" t="n">
        <v>24.9</v>
      </c>
      <c r="I14" s="43" t="n">
        <v>30.7</v>
      </c>
    </row>
    <row r="15" customFormat="false" ht="15" hidden="false" customHeight="true" outlineLevel="0" collapsed="false">
      <c r="B15" s="41" t="n">
        <v>2009</v>
      </c>
      <c r="C15" s="26" t="n">
        <v>8.4</v>
      </c>
      <c r="D15" s="27" t="n">
        <v>1365</v>
      </c>
      <c r="E15" s="26" t="n">
        <v>10.9</v>
      </c>
      <c r="F15" s="35" t="n">
        <v>35.6</v>
      </c>
      <c r="G15" s="26" t="n">
        <v>55.8</v>
      </c>
      <c r="H15" s="26" t="n">
        <v>20.2</v>
      </c>
      <c r="I15" s="26" t="n">
        <v>24.5</v>
      </c>
    </row>
    <row r="16" customFormat="false" ht="15" hidden="false" customHeight="true" outlineLevel="0" collapsed="false">
      <c r="B16" s="40" t="n">
        <v>2010</v>
      </c>
      <c r="C16" s="23" t="n">
        <v>8.4</v>
      </c>
      <c r="D16" s="24" t="n">
        <v>1708</v>
      </c>
      <c r="E16" s="23" t="n">
        <v>11.9</v>
      </c>
      <c r="F16" s="34" t="n">
        <v>27.4</v>
      </c>
      <c r="G16" s="23" t="n">
        <v>55.5</v>
      </c>
      <c r="H16" s="23" t="n">
        <v>22.4</v>
      </c>
      <c r="I16" s="23" t="n">
        <v>27.8</v>
      </c>
    </row>
    <row r="17" customFormat="false" ht="15" hidden="false" customHeight="true" outlineLevel="0" collapsed="false">
      <c r="B17" s="41" t="n">
        <v>2011</v>
      </c>
      <c r="C17" s="26" t="n">
        <v>6.6</v>
      </c>
      <c r="D17" s="27" t="n">
        <v>1823</v>
      </c>
      <c r="E17" s="26" t="n">
        <v>8.9</v>
      </c>
      <c r="F17" s="35" t="n">
        <v>36.5</v>
      </c>
      <c r="G17" s="26" t="n">
        <v>55.2</v>
      </c>
      <c r="H17" s="26" t="n">
        <v>24.9</v>
      </c>
      <c r="I17" s="26" t="n">
        <v>32.6</v>
      </c>
    </row>
    <row r="18" customFormat="false" ht="15" hidden="false" customHeight="true" outlineLevel="0" collapsed="false">
      <c r="B18" s="40" t="n">
        <v>2012</v>
      </c>
      <c r="C18" s="23" t="n">
        <v>5.5</v>
      </c>
      <c r="D18" s="24" t="n">
        <v>1827</v>
      </c>
      <c r="E18" s="23" t="n">
        <v>9.3</v>
      </c>
      <c r="F18" s="34" t="n">
        <v>24.6</v>
      </c>
      <c r="G18" s="23" t="n">
        <v>54.9</v>
      </c>
      <c r="H18" s="23" t="n">
        <v>24.4</v>
      </c>
      <c r="I18" s="23" t="n">
        <v>31.3</v>
      </c>
    </row>
    <row r="19" customFormat="false" ht="15" hidden="false" customHeight="true" outlineLevel="0" collapsed="false">
      <c r="B19" s="41" t="n">
        <v>2013</v>
      </c>
      <c r="C19" s="26" t="n">
        <v>6.4</v>
      </c>
      <c r="D19" s="27" t="n">
        <v>1857</v>
      </c>
      <c r="E19" s="26" t="n">
        <v>10.9</v>
      </c>
      <c r="F19" s="35" t="n">
        <v>28.2</v>
      </c>
      <c r="G19" s="26" t="n">
        <v>54.6</v>
      </c>
      <c r="H19" s="26" t="n">
        <v>25.4</v>
      </c>
      <c r="I19" s="26" t="n">
        <v>28.7</v>
      </c>
    </row>
    <row r="20" customFormat="false" ht="15" hidden="false" customHeight="true" outlineLevel="0" collapsed="false">
      <c r="B20" s="40" t="n">
        <v>2014</v>
      </c>
      <c r="C20" s="23" t="n">
        <v>7.4</v>
      </c>
      <c r="D20" s="24" t="n">
        <v>2040</v>
      </c>
      <c r="E20" s="23" t="n">
        <v>6.4</v>
      </c>
      <c r="F20" s="34" t="n">
        <v>34.6</v>
      </c>
      <c r="G20" s="23" t="n">
        <v>54.3</v>
      </c>
      <c r="H20" s="23" t="n">
        <v>23.4</v>
      </c>
      <c r="I20" s="23" t="n">
        <v>25</v>
      </c>
    </row>
    <row r="21" customFormat="false" ht="15" hidden="false" customHeight="true" outlineLevel="0" collapsed="false">
      <c r="B21" s="41" t="n">
        <v>2015</v>
      </c>
      <c r="C21" s="26" t="n">
        <v>8.2</v>
      </c>
      <c r="D21" s="27" t="n">
        <v>2103</v>
      </c>
      <c r="E21" s="26" t="n">
        <v>5.9</v>
      </c>
      <c r="F21" s="35" t="n">
        <v>44</v>
      </c>
      <c r="G21" s="26" t="n">
        <v>53.9</v>
      </c>
      <c r="H21" s="26" t="n">
        <v>19.9</v>
      </c>
      <c r="I21" s="26" t="n">
        <v>21.2</v>
      </c>
    </row>
    <row r="22" customFormat="false" ht="15" hidden="false" customHeight="true" outlineLevel="0" collapsed="false">
      <c r="B22" s="42" t="n">
        <v>2016</v>
      </c>
      <c r="C22" s="43" t="n">
        <v>8.3</v>
      </c>
      <c r="D22" s="44" t="n">
        <v>2290</v>
      </c>
      <c r="E22" s="43" t="n">
        <v>4.5</v>
      </c>
      <c r="F22" s="45" t="n">
        <v>44.5</v>
      </c>
      <c r="G22" s="43" t="n">
        <v>53.7</v>
      </c>
      <c r="H22" s="43" t="n">
        <v>19.5</v>
      </c>
      <c r="I22" s="43" t="n">
        <v>20.5</v>
      </c>
    </row>
    <row r="23" customFormat="false" ht="15" hidden="false" customHeight="true" outlineLevel="0" collapsed="false">
      <c r="B23" s="41" t="n">
        <v>2017</v>
      </c>
      <c r="C23" s="26" t="n">
        <v>6.1</v>
      </c>
      <c r="D23" s="27" t="n">
        <v>2652</v>
      </c>
      <c r="E23" s="26" t="n">
        <v>3.3</v>
      </c>
      <c r="F23" s="35" t="n">
        <v>60.1</v>
      </c>
      <c r="G23" s="26" t="n">
        <v>53.5</v>
      </c>
      <c r="H23" s="26" t="n">
        <v>18.8</v>
      </c>
      <c r="I23" s="26" t="n">
        <v>20.2</v>
      </c>
    </row>
    <row r="24" customFormat="false" ht="15" hidden="false" customHeight="true" outlineLevel="0" collapsed="false">
      <c r="B24" s="40" t="n">
        <v>2018</v>
      </c>
      <c r="C24" s="23" t="n">
        <v>6.8</v>
      </c>
      <c r="D24" s="24" t="n">
        <v>2702</v>
      </c>
      <c r="E24" s="23" t="n">
        <v>3.9</v>
      </c>
      <c r="F24" s="34" t="n">
        <v>42.2</v>
      </c>
      <c r="G24" s="23" t="n">
        <v>53.2</v>
      </c>
      <c r="H24" s="23" t="n">
        <v>19.9</v>
      </c>
      <c r="I24" s="23" t="n">
        <v>21.7</v>
      </c>
    </row>
    <row r="25" customFormat="false" ht="15" hidden="false" customHeight="true" outlineLevel="0" collapsed="false">
      <c r="B25" s="41" t="n">
        <v>2019</v>
      </c>
      <c r="C25" s="26" t="n">
        <v>6.5</v>
      </c>
      <c r="D25" s="27" t="n">
        <v>2875</v>
      </c>
      <c r="E25" s="26" t="n">
        <v>7.7</v>
      </c>
      <c r="F25" s="35" t="n">
        <v>50.6</v>
      </c>
      <c r="G25" s="26" t="n">
        <v>52.9</v>
      </c>
      <c r="H25" s="26" t="n">
        <v>18.4</v>
      </c>
      <c r="I25" s="26" t="n">
        <v>20.8</v>
      </c>
    </row>
    <row r="26" customFormat="false" ht="15" hidden="false" customHeight="true" outlineLevel="0" collapsed="false">
      <c r="B26" s="42" t="n">
        <v>2020</v>
      </c>
      <c r="C26" s="43" t="n">
        <v>4.2</v>
      </c>
      <c r="D26" s="44" t="n">
        <v>2671</v>
      </c>
      <c r="E26" s="43" t="n">
        <v>6.2</v>
      </c>
      <c r="F26" s="45" t="n">
        <v>64.4</v>
      </c>
      <c r="G26" s="43" t="n">
        <v>46</v>
      </c>
      <c r="H26" s="43" t="n">
        <v>18.5</v>
      </c>
      <c r="I26" s="43" t="n">
        <v>19.6</v>
      </c>
    </row>
    <row r="27" customFormat="false" ht="15" hidden="false" customHeight="true" outlineLevel="0" collapsed="false">
      <c r="B27" s="41" t="n">
        <v>2021</v>
      </c>
      <c r="C27" s="28" t="n">
        <v>-6.6</v>
      </c>
      <c r="D27" s="27" t="n">
        <v>3150</v>
      </c>
      <c r="E27" s="26" t="n">
        <v>5.1</v>
      </c>
      <c r="F27" s="35" t="n">
        <v>81.9</v>
      </c>
      <c r="G27" s="26" t="n">
        <v>43.8</v>
      </c>
      <c r="H27" s="26" t="n">
        <v>21.3</v>
      </c>
      <c r="I27" s="26" t="n">
        <v>24.7</v>
      </c>
    </row>
    <row r="28" customFormat="false" ht="15" hidden="false" customHeight="true" outlineLevel="0" collapsed="false">
      <c r="B28" s="40" t="n">
        <v>2022</v>
      </c>
      <c r="C28" s="23" t="n">
        <v>8.7</v>
      </c>
      <c r="D28" s="24" t="n">
        <v>3389</v>
      </c>
      <c r="E28" s="23" t="n">
        <v>6.7</v>
      </c>
      <c r="F28" s="34" t="n">
        <v>84.8</v>
      </c>
      <c r="G28" s="23" t="n">
        <v>44.5</v>
      </c>
      <c r="H28" s="23" t="n">
        <v>22.4</v>
      </c>
      <c r="I28" s="23" t="n">
        <v>26</v>
      </c>
    </row>
    <row r="29" customFormat="false" ht="15" hidden="false" customHeight="true" outlineLevel="0" collapsed="false">
      <c r="B29" s="41" t="n">
        <v>2023</v>
      </c>
      <c r="C29" s="26" t="n">
        <v>7.2</v>
      </c>
      <c r="D29" s="27" t="n">
        <v>3730</v>
      </c>
      <c r="E29" s="26" t="n">
        <v>5.4</v>
      </c>
      <c r="F29" s="35" t="n">
        <v>71.4</v>
      </c>
      <c r="G29" s="26" t="n">
        <v>47.2</v>
      </c>
      <c r="H29" s="26" t="n">
        <v>21.8</v>
      </c>
      <c r="I29" s="26" t="n">
        <v>24.9</v>
      </c>
    </row>
    <row r="30" customFormat="false" ht="16.5" hidden="false" customHeight="true" outlineLevel="0" collapsed="false">
      <c r="B30" s="29" t="s">
        <v>66</v>
      </c>
      <c r="C30" s="30" t="n">
        <f aca="false">AVERAGE(C6:C29)</f>
        <v>6.4625</v>
      </c>
      <c r="D30" s="31" t="n">
        <f aca="false">AVERAGE(D6:D29)</f>
        <v>1802.58333333333</v>
      </c>
      <c r="E30" s="30" t="n">
        <f aca="false">AVERAGE(E6:E29)</f>
        <v>6.30416666666667</v>
      </c>
      <c r="F30" s="36" t="n">
        <f aca="false">AVERAGE(F6:F29)</f>
        <v>35.5041666666667</v>
      </c>
      <c r="G30" s="30" t="n">
        <f aca="false">AVERAGE(G6:G29)</f>
        <v>53.9125</v>
      </c>
      <c r="H30" s="30" t="n">
        <f aca="false">AVERAGE(H6:H29)</f>
        <v>20.2</v>
      </c>
      <c r="I30" s="30" t="n">
        <f aca="false">AVERAGE(I6:I29)</f>
        <v>23.35</v>
      </c>
    </row>
    <row r="32" customFormat="false" ht="15" hidden="false" customHeight="false" outlineLevel="0" collapsed="false">
      <c r="B32" s="46" t="s">
        <v>89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2026-05-03T01:56:38Z</dcterms:created>
  <dc:creator>openpyxl</dc:creator>
  <dc:description/>
  <dc:language>en-US</dc:language>
  <cp:lastModifiedBy/>
  <dcterms:modified xsi:type="dcterms:W3CDTF">2026-05-03T01:56:45Z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